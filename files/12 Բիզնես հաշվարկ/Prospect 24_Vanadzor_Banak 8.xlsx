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B9E626AD-4785-4044-B47E-D9699863F14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vestment" sheetId="4" r:id="rId1"/>
    <sheet name="Credit" sheetId="5" r:id="rId2"/>
    <sheet name="Cash flow" sheetId="1" r:id="rId3"/>
    <sheet name="Income Statement" sheetId="7" r:id="rId4"/>
    <sheet name="Info" sheetId="6" r:id="rId5"/>
  </sheets>
  <definedNames>
    <definedName name="Cash_Minimum" localSheetId="3">'Income Statement'!#REF!</definedName>
    <definedName name="Cash_Minimum" localSheetId="0">Investment!#REF!</definedName>
    <definedName name="Cash_Minimum">'Cash flow'!#REF!</definedName>
    <definedName name="Start_Date" localSheetId="3">'Income Statement'!#REF!</definedName>
    <definedName name="Start_Date" localSheetId="0">Investment!#REF!</definedName>
    <definedName name="Start_Date">'Cash flow'!#REF!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H26" i="7"/>
  <c r="H28" i="7"/>
  <c r="H25" i="7"/>
  <c r="H18" i="7"/>
  <c r="H22" i="7"/>
  <c r="H23" i="7"/>
  <c r="H24" i="7"/>
  <c r="H11" i="7"/>
  <c r="C28" i="7"/>
  <c r="C26" i="7"/>
  <c r="C11" i="7"/>
  <c r="C25" i="7"/>
  <c r="C20" i="7"/>
  <c r="C17" i="7"/>
  <c r="D43" i="1"/>
  <c r="F43" i="1"/>
  <c r="G43" i="1"/>
  <c r="G41" i="1"/>
  <c r="F36" i="1"/>
  <c r="F41" i="1"/>
  <c r="D28" i="1"/>
  <c r="C28" i="1"/>
  <c r="C26" i="1"/>
  <c r="D26" i="1"/>
  <c r="H15" i="1"/>
  <c r="H16" i="1"/>
  <c r="H12" i="1"/>
  <c r="H17" i="1"/>
  <c r="C17" i="1"/>
  <c r="C11" i="5"/>
  <c r="I9" i="4"/>
  <c r="H9" i="4"/>
  <c r="I8" i="4"/>
  <c r="F8" i="4"/>
  <c r="H8" i="4" s="1"/>
  <c r="C8" i="1"/>
  <c r="H14" i="1"/>
  <c r="C22" i="1"/>
  <c r="H22" i="1"/>
  <c r="C23" i="1"/>
  <c r="H23" i="1"/>
  <c r="C25" i="1"/>
  <c r="E25" i="1"/>
  <c r="H25" i="1"/>
  <c r="H27" i="1"/>
  <c r="E29" i="1"/>
  <c r="H30" i="1"/>
  <c r="H32" i="1"/>
  <c r="H33" i="1"/>
  <c r="H34" i="1"/>
  <c r="H35" i="1"/>
  <c r="H39" i="1"/>
  <c r="H40" i="1"/>
  <c r="H17" i="7"/>
  <c r="C19" i="7"/>
  <c r="H19" i="7"/>
  <c r="H21" i="7"/>
  <c r="H9" i="7"/>
  <c r="G10" i="7"/>
  <c r="C16" i="7"/>
  <c r="H16" i="7"/>
  <c r="E9" i="4"/>
  <c r="J4" i="5"/>
  <c r="H14" i="4" l="1"/>
  <c r="C24" i="1"/>
  <c r="C18" i="7"/>
  <c r="C12" i="1"/>
  <c r="D12" i="1"/>
  <c r="D7" i="7" s="1"/>
  <c r="E12" i="1"/>
  <c r="E7" i="7" s="1"/>
  <c r="H16" i="4"/>
  <c r="H18" i="4" s="1"/>
  <c r="C4" i="5" s="1"/>
  <c r="D13" i="1"/>
  <c r="E13" i="1"/>
  <c r="E8" i="7" s="1"/>
  <c r="C13" i="1"/>
  <c r="I18" i="4"/>
  <c r="C15" i="1"/>
  <c r="B18" i="7"/>
  <c r="B19" i="7"/>
  <c r="B20" i="7"/>
  <c r="B24" i="1"/>
  <c r="B25" i="1"/>
  <c r="B26" i="1"/>
  <c r="D18" i="7" l="1"/>
  <c r="E18" i="7" s="1"/>
  <c r="D24" i="1"/>
  <c r="E24" i="1" s="1"/>
  <c r="H24" i="1"/>
  <c r="C7" i="7"/>
  <c r="H7" i="7" s="1"/>
  <c r="G17" i="1"/>
  <c r="G11" i="7"/>
  <c r="H13" i="1"/>
  <c r="C8" i="7"/>
  <c r="D8" i="7"/>
  <c r="B17" i="7"/>
  <c r="B8" i="7"/>
  <c r="B7" i="7"/>
  <c r="H8" i="7" l="1"/>
  <c r="D21" i="5"/>
  <c r="D28" i="5" s="1"/>
  <c r="E21" i="5"/>
  <c r="E28" i="5" s="1"/>
  <c r="D14" i="5"/>
  <c r="E14" i="5"/>
  <c r="F14" i="5"/>
  <c r="F21" i="5" s="1"/>
  <c r="F28" i="5" s="1"/>
  <c r="G14" i="5"/>
  <c r="G21" i="5" s="1"/>
  <c r="G28" i="5" s="1"/>
  <c r="H14" i="5"/>
  <c r="H21" i="5" s="1"/>
  <c r="H28" i="5" s="1"/>
  <c r="I14" i="5"/>
  <c r="I21" i="5" s="1"/>
  <c r="I28" i="5" s="1"/>
  <c r="J14" i="5"/>
  <c r="J21" i="5" s="1"/>
  <c r="J28" i="5" s="1"/>
  <c r="K14" i="5"/>
  <c r="K21" i="5" s="1"/>
  <c r="K28" i="5" s="1"/>
  <c r="L14" i="5"/>
  <c r="L21" i="5" s="1"/>
  <c r="L28" i="5" s="1"/>
  <c r="M14" i="5"/>
  <c r="M21" i="5" s="1"/>
  <c r="M28" i="5" s="1"/>
  <c r="N14" i="5"/>
  <c r="N21" i="5" s="1"/>
  <c r="N28" i="5" s="1"/>
  <c r="C14" i="5"/>
  <c r="C21" i="5" s="1"/>
  <c r="C28" i="5" s="1"/>
  <c r="O20" i="5"/>
  <c r="O13" i="5"/>
  <c r="B13" i="1"/>
  <c r="B12" i="1"/>
  <c r="B23" i="1"/>
  <c r="E26" i="1" l="1"/>
  <c r="D20" i="7"/>
  <c r="C8" i="5"/>
  <c r="C10" i="5"/>
  <c r="E20" i="7" l="1"/>
  <c r="H26" i="1"/>
  <c r="D8" i="5"/>
  <c r="G20" i="7" l="1"/>
  <c r="G25" i="7" s="1"/>
  <c r="G28" i="1"/>
  <c r="F20" i="7"/>
  <c r="H20" i="7" s="1"/>
  <c r="F28" i="1"/>
  <c r="H28" i="1" s="1"/>
  <c r="D11" i="5"/>
  <c r="C17" i="5"/>
  <c r="D10" i="5"/>
  <c r="C12" i="5"/>
  <c r="G26" i="7" l="1"/>
  <c r="G29" i="1" s="1"/>
  <c r="G36" i="1" s="1"/>
  <c r="G28" i="7"/>
  <c r="E10" i="5"/>
  <c r="F10" i="5" s="1"/>
  <c r="G10" i="5" s="1"/>
  <c r="H10" i="5" s="1"/>
  <c r="I10" i="5" s="1"/>
  <c r="J10" i="5" s="1"/>
  <c r="K10" i="5" s="1"/>
  <c r="L10" i="5" s="1"/>
  <c r="M10" i="5" s="1"/>
  <c r="N10" i="5" s="1"/>
  <c r="E8" i="5"/>
  <c r="O10" i="5"/>
  <c r="C38" i="1" s="1"/>
  <c r="C24" i="5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D12" i="5"/>
  <c r="F8" i="5" l="1"/>
  <c r="G8" i="5" s="1"/>
  <c r="H8" i="5" s="1"/>
  <c r="I8" i="5" s="1"/>
  <c r="J8" i="5" s="1"/>
  <c r="K8" i="5" s="1"/>
  <c r="L8" i="5" s="1"/>
  <c r="M8" i="5" s="1"/>
  <c r="N8" i="5" s="1"/>
  <c r="C16" i="1"/>
  <c r="E11" i="5"/>
  <c r="E12" i="5" s="1"/>
  <c r="G11" i="5"/>
  <c r="F11" i="5"/>
  <c r="F12" i="5" s="1"/>
  <c r="O17" i="5"/>
  <c r="D38" i="1" s="1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C31" i="5"/>
  <c r="C10" i="7" l="1"/>
  <c r="G12" i="5"/>
  <c r="O24" i="5"/>
  <c r="E38" i="1" s="1"/>
  <c r="D31" i="5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l="1"/>
  <c r="F38" i="1" s="1"/>
  <c r="H38" i="1" s="1"/>
  <c r="H11" i="5"/>
  <c r="H12" i="5" l="1"/>
  <c r="I11" i="5"/>
  <c r="I12" i="5" s="1"/>
  <c r="J11" i="5" l="1"/>
  <c r="J12" i="5" s="1"/>
  <c r="K11" i="5" l="1"/>
  <c r="K12" i="5" s="1"/>
  <c r="L11" i="5" l="1"/>
  <c r="L12" i="5" s="1"/>
  <c r="M11" i="5" l="1"/>
  <c r="M12" i="5" s="1"/>
  <c r="C15" i="5" l="1"/>
  <c r="N11" i="5"/>
  <c r="C18" i="5" l="1"/>
  <c r="C19" i="5" s="1"/>
  <c r="D15" i="5"/>
  <c r="N12" i="5"/>
  <c r="O12" i="5" s="1"/>
  <c r="O11" i="5"/>
  <c r="C31" i="1" s="1"/>
  <c r="C22" i="7" l="1"/>
  <c r="E15" i="5"/>
  <c r="D18" i="5"/>
  <c r="D19" i="5" s="1"/>
  <c r="E18" i="5" l="1"/>
  <c r="E19" i="5" s="1"/>
  <c r="F15" i="5"/>
  <c r="C29" i="1" l="1"/>
  <c r="C36" i="1" s="1"/>
  <c r="C41" i="1" s="1"/>
  <c r="G15" i="5"/>
  <c r="F18" i="5"/>
  <c r="C42" i="1" l="1"/>
  <c r="C43" i="1"/>
  <c r="F19" i="5"/>
  <c r="G18" i="5"/>
  <c r="G19" i="5" s="1"/>
  <c r="H15" i="5"/>
  <c r="H18" i="5" l="1"/>
  <c r="I15" i="5"/>
  <c r="D8" i="1" l="1"/>
  <c r="I18" i="5"/>
  <c r="I19" i="5" s="1"/>
  <c r="J15" i="5"/>
  <c r="H19" i="5"/>
  <c r="J18" i="5" l="1"/>
  <c r="J19" i="5" s="1"/>
  <c r="K15" i="5"/>
  <c r="L15" i="5" l="1"/>
  <c r="K18" i="5"/>
  <c r="K19" i="5" l="1"/>
  <c r="M15" i="5"/>
  <c r="L18" i="5"/>
  <c r="L19" i="5" s="1"/>
  <c r="N15" i="5" l="1"/>
  <c r="D16" i="1" s="1"/>
  <c r="M18" i="5"/>
  <c r="M19" i="5" s="1"/>
  <c r="D17" i="1" l="1"/>
  <c r="D10" i="7"/>
  <c r="C22" i="5"/>
  <c r="N18" i="5"/>
  <c r="D11" i="7" l="1"/>
  <c r="N19" i="5"/>
  <c r="O19" i="5" s="1"/>
  <c r="O18" i="5"/>
  <c r="D31" i="1" s="1"/>
  <c r="D22" i="5"/>
  <c r="C25" i="5"/>
  <c r="C26" i="5" s="1"/>
  <c r="D22" i="7" l="1"/>
  <c r="E22" i="5"/>
  <c r="D25" i="5"/>
  <c r="D26" i="5" s="1"/>
  <c r="D25" i="7" l="1"/>
  <c r="E25" i="5"/>
  <c r="E26" i="5" s="1"/>
  <c r="F22" i="5"/>
  <c r="D26" i="7" l="1"/>
  <c r="D29" i="1" s="1"/>
  <c r="D28" i="7"/>
  <c r="G22" i="5"/>
  <c r="F25" i="5"/>
  <c r="D36" i="1" l="1"/>
  <c r="F26" i="5"/>
  <c r="G25" i="5"/>
  <c r="G26" i="5" s="1"/>
  <c r="H22" i="5"/>
  <c r="D41" i="1" l="1"/>
  <c r="I22" i="5"/>
  <c r="H25" i="5"/>
  <c r="D42" i="1" l="1"/>
  <c r="E8" i="1" s="1"/>
  <c r="H26" i="5"/>
  <c r="J22" i="5"/>
  <c r="I25" i="5"/>
  <c r="I26" i="5" s="1"/>
  <c r="J25" i="5" l="1"/>
  <c r="J26" i="5" s="1"/>
  <c r="K22" i="5"/>
  <c r="L22" i="5" l="1"/>
  <c r="K25" i="5"/>
  <c r="K26" i="5" l="1"/>
  <c r="L25" i="5"/>
  <c r="L26" i="5" s="1"/>
  <c r="M22" i="5"/>
  <c r="M25" i="5" l="1"/>
  <c r="M26" i="5" s="1"/>
  <c r="N22" i="5"/>
  <c r="E16" i="1" s="1"/>
  <c r="E17" i="1" l="1"/>
  <c r="E10" i="7"/>
  <c r="N25" i="5"/>
  <c r="C29" i="5"/>
  <c r="E11" i="7" l="1"/>
  <c r="H10" i="7"/>
  <c r="D29" i="5"/>
  <c r="C32" i="5"/>
  <c r="C33" i="5" s="1"/>
  <c r="N26" i="5"/>
  <c r="O26" i="5" s="1"/>
  <c r="O25" i="5"/>
  <c r="E31" i="1" s="1"/>
  <c r="E36" i="1" l="1"/>
  <c r="E22" i="7"/>
  <c r="C7" i="6"/>
  <c r="E29" i="5"/>
  <c r="D32" i="5"/>
  <c r="D33" i="5" s="1"/>
  <c r="E25" i="7" l="1"/>
  <c r="E41" i="1"/>
  <c r="E43" i="1" s="1"/>
  <c r="H43" i="1" s="1"/>
  <c r="E32" i="5"/>
  <c r="F29" i="5"/>
  <c r="E42" i="1" l="1"/>
  <c r="F8" i="1" s="1"/>
  <c r="E28" i="7"/>
  <c r="F32" i="5"/>
  <c r="F33" i="5" s="1"/>
  <c r="G29" i="5"/>
  <c r="E33" i="5"/>
  <c r="G32" i="5" l="1"/>
  <c r="H29" i="5"/>
  <c r="I29" i="5" l="1"/>
  <c r="H32" i="5"/>
  <c r="H33" i="5" s="1"/>
  <c r="G33" i="5"/>
  <c r="J29" i="5" l="1"/>
  <c r="I32" i="5"/>
  <c r="I33" i="5" l="1"/>
  <c r="J32" i="5"/>
  <c r="J33" i="5" s="1"/>
  <c r="K29" i="5"/>
  <c r="K32" i="5" l="1"/>
  <c r="K33" i="5" s="1"/>
  <c r="L29" i="5"/>
  <c r="M29" i="5" l="1"/>
  <c r="L32" i="5"/>
  <c r="L33" i="5" l="1"/>
  <c r="N29" i="5"/>
  <c r="F16" i="1" s="1"/>
  <c r="M32" i="5"/>
  <c r="M33" i="5" s="1"/>
  <c r="F17" i="1" l="1"/>
  <c r="F10" i="7"/>
  <c r="F11" i="7" s="1"/>
  <c r="N32" i="5"/>
  <c r="N33" i="5" l="1"/>
  <c r="O33" i="5" s="1"/>
  <c r="O32" i="5"/>
  <c r="F31" i="1" s="1"/>
  <c r="F22" i="7" l="1"/>
  <c r="H31" i="1"/>
  <c r="F25" i="7" l="1"/>
  <c r="F28" i="7" l="1"/>
  <c r="H29" i="1" l="1"/>
  <c r="C9" i="6"/>
  <c r="C15" i="6" l="1"/>
  <c r="C14" i="6"/>
  <c r="H36" i="1"/>
  <c r="H41" i="1" s="1"/>
  <c r="H42" i="1" s="1"/>
  <c r="F42" i="1" l="1"/>
  <c r="G8" i="1" s="1"/>
  <c r="G42" i="1" s="1"/>
</calcChain>
</file>

<file path=xl/sharedStrings.xml><?xml version="1.0" encoding="utf-8"?>
<sst xmlns="http://schemas.openxmlformats.org/spreadsheetml/2006/main" count="132" uniqueCount="89">
  <si>
    <t>ՎԱՆԱՁՈՐ — ԲԱՆԱԿԻ 8</t>
  </si>
  <si>
    <t>ՆԵՐԴՐՈՒՄԱՅԻՆ ԾՐԱԳԻՐ</t>
  </si>
  <si>
    <t xml:space="preserve"> </t>
  </si>
  <si>
    <t>ԴՐԱՄԻ ՄԻԱՎՈՐ</t>
  </si>
  <si>
    <t>ՀՀ ԴՐԱՄ</t>
  </si>
  <si>
    <t>ԵԼՔԵՐ / ՄՈՒՏՔԵՐ</t>
  </si>
  <si>
    <t>Չափման միավոր</t>
  </si>
  <si>
    <t>Քանակ` կառուցապատում</t>
  </si>
  <si>
    <t>Քանակ` մաքուր մակերես.</t>
  </si>
  <si>
    <t>Ինքնարժեք</t>
  </si>
  <si>
    <t>Գին</t>
  </si>
  <si>
    <t>Ընդհանուր ԵԼՔԵՐ</t>
  </si>
  <si>
    <t>Ընդհանուր ՄՈՒՏՔԵՐ</t>
  </si>
  <si>
    <t>Մասնաբաժին</t>
  </si>
  <si>
    <t>Ընդհանուր տարածք</t>
  </si>
  <si>
    <t>քառ․ մետր</t>
  </si>
  <si>
    <t>Բնակելի տարածք՝ վաճառք</t>
  </si>
  <si>
    <t>Ավտոկայանատեղեր՝ վաճառք</t>
  </si>
  <si>
    <t>հատ</t>
  </si>
  <si>
    <t>ՆԵՐԴՐՈՒՄՆԵՐ</t>
  </si>
  <si>
    <t>Շին․ թույլտվություն - հասարակական տարածքներ</t>
  </si>
  <si>
    <t>Շինարարության ծախսեր</t>
  </si>
  <si>
    <t xml:space="preserve">Նախագիծ </t>
  </si>
  <si>
    <t>Այլ ծախսեր (մարքեթինգ, վարչական, չնախատեսված, այլն)</t>
  </si>
  <si>
    <t>ԸՆԴՀԱՆՈՒՐ ԵԼՔԵՐ / ՄՈՒՏՔԵՐ</t>
  </si>
  <si>
    <t>ՎԱՐԿԻ ԿԱՌԱՎԱՐՈՒՄ</t>
  </si>
  <si>
    <t>Վարկի գումար</t>
  </si>
  <si>
    <t>Ստացման ամիս</t>
  </si>
  <si>
    <t>Վարկի ժամկետ (ամիս)</t>
  </si>
  <si>
    <t>Վարկի տարեկան տոկոսադրույք</t>
  </si>
  <si>
    <t>Ավանդի տարեկան տոկոսադրույք</t>
  </si>
  <si>
    <t>ՏԱՐԻ 1</t>
  </si>
  <si>
    <t>ԱՄԻՍ 1</t>
  </si>
  <si>
    <t>ԱՄԻՍ 2</t>
  </si>
  <si>
    <t>ԱՄԻՍ 3</t>
  </si>
  <si>
    <t>ԱՄԻՍ 4</t>
  </si>
  <si>
    <t>ԱՄԻՍ 5</t>
  </si>
  <si>
    <t>ԱՄԻՍ 6</t>
  </si>
  <si>
    <t>ԱՄԻՍ 7</t>
  </si>
  <si>
    <t>ԱՄԻՍ 8</t>
  </si>
  <si>
    <t>ԱՄԻՍ 9</t>
  </si>
  <si>
    <t>ԱՄԻՍ 10</t>
  </si>
  <si>
    <t>ԱՄԻՍ 11</t>
  </si>
  <si>
    <t>ԱՄԻՍ 12</t>
  </si>
  <si>
    <t>ԳՈՒՄԱՐ</t>
  </si>
  <si>
    <t>Վարկի մայր գումարի մնացորդ</t>
  </si>
  <si>
    <t>Մայր գումարի վճար</t>
  </si>
  <si>
    <t>Վճարվող տոկոսներ</t>
  </si>
  <si>
    <t>ԸՆԴՀԱՆՈՒՐ ՄԱՅՐ ԳՈՒՄԱՐ ԵՎ ՏՈԿՈՍՆԵՐ</t>
  </si>
  <si>
    <t>ՏԱՐԻ 2</t>
  </si>
  <si>
    <t>ՏԱՐԻ 3</t>
  </si>
  <si>
    <t>ՏԱՐԻ 4</t>
  </si>
  <si>
    <t>ԴՐԱՄԱԿԱՆ ՄԻՋՈՑՆԵՐԻ ՇԱՐԺ</t>
  </si>
  <si>
    <t>Դրամական միջոցների սկզբնական մնացորդ</t>
  </si>
  <si>
    <t>ՏԱՐԻ 5</t>
  </si>
  <si>
    <t>ԸՆԴՀԱՆՈՒՐ</t>
  </si>
  <si>
    <t>ԴՐԱՄԻ ՄՆԱՑՈՐԴ ՏԱՐՎԱ ՍԿԶԲՈՒՄ</t>
  </si>
  <si>
    <t>ԴՐԱՄԻ ՄՈՒՏՔԵՐ</t>
  </si>
  <si>
    <t>Վարկային միջոցներ</t>
  </si>
  <si>
    <t>Տոկոսներ ավանդից</t>
  </si>
  <si>
    <t>ԸՆԴՀԱՆՈՒՐ ՄՈՒՏՔԵՐ</t>
  </si>
  <si>
    <t>ԴՐԱՄԻ ԵԼՔԵՐ</t>
  </si>
  <si>
    <t>ԱԱՀ</t>
  </si>
  <si>
    <t>Շահութահարկ</t>
  </si>
  <si>
    <t>Վարկի տոկոսներ</t>
  </si>
  <si>
    <t>ԸՆԴԱՄԵՆԸ</t>
  </si>
  <si>
    <t>Վարկի մայր գումարի վճարում</t>
  </si>
  <si>
    <t>ԸՆԴՀԱՆՈՒՐ ԴՐԱՄԱԿԱՆ ՀՈՍՔԵՐԻ ԵԼՔ</t>
  </si>
  <si>
    <t>ԴՐԱՄԱԿԱՆ ՄԻՋՈՑՆԵՐԻ ՄՆԱՑՈՐԴ</t>
  </si>
  <si>
    <t>ԶՈՒՏ ԴՐԱՄԱԿԱՆ ՀՈՍՔԵՐ</t>
  </si>
  <si>
    <t>ՖԻՆԱՆՍԱԿԱՆ ԱՐԴՅՈՒՆՔՆԵՐԻ ՀԱՇՎԵՏՎՈՒԹՅՈՒՆ</t>
  </si>
  <si>
    <t>ՀԱՄԱԽԱՌՆ ԵԿԱՄՈՒՏ</t>
  </si>
  <si>
    <t>Տոկոսային եկամուտ</t>
  </si>
  <si>
    <t>ԸՆԴՀԱՆՈՒՐ ՀԱՄԱԽԱՌՆ ԵԿԱՄՈՒՏ</t>
  </si>
  <si>
    <t>ԾԱԽՍԵՐ</t>
  </si>
  <si>
    <t>ԸՆԴՀԱՆՈՒՐ ԾԱԽՍԵՐ</t>
  </si>
  <si>
    <t>ԶՈՒՏ ՇԱՀՈՒՅԹ</t>
  </si>
  <si>
    <t>ՖԻՆԱՆՍԱԿԱՆ ՑՈՒՑԱՆԻՇՆԵՐ</t>
  </si>
  <si>
    <t>ՆԵՐԴՐՈՒՄՆԵՐ ՏԱՐԱԾՔԻ ԿԱՌՈՒՑԱՊԱՏՄԱՆ ՆՊԱՏԱԿՈՎ</t>
  </si>
  <si>
    <t>Համախառն եկամուտ (առանց ԱԱՀ)</t>
  </si>
  <si>
    <t>Պահանջվող ներդրումներ*</t>
  </si>
  <si>
    <t>Զուտ շահույթ</t>
  </si>
  <si>
    <t>*ներդրումների մեջ ներառված չէ հողի գնման արժեքը</t>
  </si>
  <si>
    <t>ՆԵՐԴՐՈՒՄՆԵՐԻ ՖԻՆԱՆՍԱԿԱՆ ՑՈՒՑԱՆԻՇՆԵՐ</t>
  </si>
  <si>
    <t>Ներդրումների եկամտաբերություն (ROI)</t>
  </si>
  <si>
    <t>Զուտ շահութաբերություն</t>
  </si>
  <si>
    <t>ԸՆԴՀԱՆՈՒՐ ՏՎՅԱԼՆԵՐ</t>
  </si>
  <si>
    <t>Կանխատեսման հորիզոն կառուցապատումից հետո՝ տարի</t>
  </si>
  <si>
    <t>Կանխատեսման հորիզոն ՝ տարի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</si>
</sst>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 yyyy"/>
    <numFmt numFmtId="165" formatCode="_(* #,##0_);_(* \(#,##0\);_(* &quot;-&quot;??_);_(@_)"/>
    <numFmt numFmtId="166" formatCode="m/d/yy;@"/>
  </numFmts>
  <fonts count="33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4"/>
      <color theme="6" tint="-0.499984740745262"/>
      <name val="Franklin Gothic Demi"/>
      <family val="2"/>
    </font>
    <font>
      <sz val="10"/>
      <color theme="6" tint="-0.499984740745262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2"/>
      <color theme="6" tint="-0.499984740745262"/>
      <name val="Franklin Gothic Book"/>
      <family val="2"/>
      <scheme val="minor"/>
    </font>
    <font>
      <sz val="12"/>
      <color theme="3"/>
      <name val="Franklin Gothic Book"/>
      <family val="2"/>
      <scheme val="minor"/>
    </font>
    <font>
      <sz val="8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b/>
      <sz val="12"/>
      <color theme="3"/>
      <name val="Franklin Gothic Book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3"/>
      <name val="Calibri"/>
      <family val="2"/>
    </font>
    <font>
      <b/>
      <sz val="14"/>
      <color theme="6" tint="-0.499984740745262"/>
      <name val="Calibri"/>
      <family val="2"/>
    </font>
    <font>
      <b/>
      <sz val="10"/>
      <color theme="1"/>
      <name val="Calibri"/>
      <family val="2"/>
    </font>
    <font>
      <sz val="36"/>
      <color theme="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3"/>
      <color theme="6" tint="-0.499984740745262"/>
      <name val="Calibri"/>
      <family val="2"/>
    </font>
    <font>
      <b/>
      <sz val="13"/>
      <color theme="3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3"/>
      <color theme="1"/>
      <name val="Franklin Gothic Book"/>
      <family val="2"/>
      <scheme val="minor"/>
    </font>
    <font>
      <sz val="13"/>
      <color theme="3"/>
      <name val="Franklin Gothic Book"/>
      <family val="2"/>
      <scheme val="minor"/>
    </font>
    <font>
      <sz val="10"/>
      <name val="Franklin Gothic Book"/>
      <family val="2"/>
      <scheme val="minor"/>
    </font>
    <font>
      <sz val="9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b/>
      <sz val="13"/>
      <color theme="6" tint="-0.7499923703726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0"/>
      </bottom>
      <diagonal/>
    </border>
    <border>
      <left/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3" tint="0.79995117038483843"/>
      </top>
      <bottom style="thin">
        <color theme="0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/>
      <right/>
      <top/>
      <bottom style="thin">
        <color theme="6" tint="-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/>
      <right style="thin">
        <color theme="3" tint="0.79998168889431442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3" tint="0.79998168889431442"/>
      </left>
      <right/>
      <top/>
      <bottom style="thin">
        <color theme="0"/>
      </bottom>
      <diagonal/>
    </border>
    <border>
      <left style="thin">
        <color theme="3" tint="0.79995117038483843"/>
      </left>
      <right/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4" fontId="1" fillId="0" borderId="2" xfId="0" applyNumberFormat="1" applyFont="1" applyBorder="1" applyAlignment="1">
      <alignment horizontal="center" vertical="center"/>
    </xf>
    <xf numFmtId="44" fontId="1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indent="2"/>
    </xf>
    <xf numFmtId="44" fontId="1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indent="2"/>
    </xf>
    <xf numFmtId="44" fontId="3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indent="2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indent="1"/>
    </xf>
    <xf numFmtId="165" fontId="1" fillId="0" borderId="0" xfId="0" applyNumberFormat="1" applyFont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4" fontId="3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vertical="center"/>
    </xf>
    <xf numFmtId="165" fontId="1" fillId="3" borderId="2" xfId="0" applyNumberFormat="1" applyFont="1" applyFill="1" applyBorder="1" applyAlignment="1">
      <alignment horizontal="center" vertical="center"/>
    </xf>
    <xf numFmtId="166" fontId="1" fillId="2" borderId="24" xfId="0" applyNumberFormat="1" applyFont="1" applyFill="1" applyBorder="1" applyAlignment="1">
      <alignment horizontal="center" vertical="center"/>
    </xf>
    <xf numFmtId="9" fontId="1" fillId="2" borderId="24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2"/>
    </xf>
    <xf numFmtId="44" fontId="6" fillId="0" borderId="0" xfId="0" applyNumberFormat="1" applyFont="1" applyAlignment="1">
      <alignment horizontal="center" vertical="center"/>
    </xf>
    <xf numFmtId="165" fontId="6" fillId="2" borderId="24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65" fontId="6" fillId="0" borderId="0" xfId="0" applyNumberFormat="1" applyFont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 indent="2"/>
    </xf>
    <xf numFmtId="165" fontId="6" fillId="5" borderId="5" xfId="0" applyNumberFormat="1" applyFont="1" applyFill="1" applyBorder="1" applyAlignment="1">
      <alignment horizontal="center" vertical="center"/>
    </xf>
    <xf numFmtId="165" fontId="6" fillId="5" borderId="6" xfId="0" applyNumberFormat="1" applyFont="1" applyFill="1" applyBorder="1" applyAlignment="1">
      <alignment horizontal="center" vertical="center"/>
    </xf>
    <xf numFmtId="165" fontId="6" fillId="5" borderId="7" xfId="0" applyNumberFormat="1" applyFont="1" applyFill="1" applyBorder="1" applyAlignment="1">
      <alignment horizontal="center" vertical="center"/>
    </xf>
    <xf numFmtId="165" fontId="6" fillId="5" borderId="8" xfId="0" applyNumberFormat="1" applyFont="1" applyFill="1" applyBorder="1" applyAlignment="1">
      <alignment horizontal="center" vertical="center"/>
    </xf>
    <xf numFmtId="165" fontId="10" fillId="5" borderId="10" xfId="0" applyNumberFormat="1" applyFont="1" applyFill="1" applyBorder="1" applyAlignment="1">
      <alignment horizontal="center" vertical="center"/>
    </xf>
    <xf numFmtId="165" fontId="6" fillId="5" borderId="13" xfId="0" applyNumberFormat="1" applyFont="1" applyFill="1" applyBorder="1" applyAlignment="1">
      <alignment horizontal="center" vertical="center"/>
    </xf>
    <xf numFmtId="165" fontId="10" fillId="5" borderId="9" xfId="0" applyNumberFormat="1" applyFont="1" applyFill="1" applyBorder="1" applyAlignment="1">
      <alignment horizontal="center" vertical="center"/>
    </xf>
    <xf numFmtId="165" fontId="6" fillId="5" borderId="11" xfId="0" applyNumberFormat="1" applyFont="1" applyFill="1" applyBorder="1" applyAlignment="1">
      <alignment horizontal="center" vertical="center"/>
    </xf>
    <xf numFmtId="165" fontId="6" fillId="5" borderId="12" xfId="0" applyNumberFormat="1" applyFont="1" applyFill="1" applyBorder="1" applyAlignment="1">
      <alignment horizontal="center" vertical="center"/>
    </xf>
    <xf numFmtId="165" fontId="6" fillId="5" borderId="17" xfId="0" applyNumberFormat="1" applyFont="1" applyFill="1" applyBorder="1" applyAlignment="1">
      <alignment horizontal="center" vertical="center"/>
    </xf>
    <xf numFmtId="165" fontId="6" fillId="5" borderId="19" xfId="0" applyNumberFormat="1" applyFont="1" applyFill="1" applyBorder="1" applyAlignment="1">
      <alignment horizontal="center" vertical="center"/>
    </xf>
    <xf numFmtId="165" fontId="6" fillId="5" borderId="21" xfId="0" applyNumberFormat="1" applyFont="1" applyFill="1" applyBorder="1" applyAlignment="1">
      <alignment horizontal="center" vertical="center"/>
    </xf>
    <xf numFmtId="165" fontId="6" fillId="5" borderId="20" xfId="0" applyNumberFormat="1" applyFont="1" applyFill="1" applyBorder="1" applyAlignment="1">
      <alignment horizontal="center" vertical="center"/>
    </xf>
    <xf numFmtId="165" fontId="10" fillId="5" borderId="22" xfId="0" applyNumberFormat="1" applyFont="1" applyFill="1" applyBorder="1" applyAlignment="1">
      <alignment horizontal="center" vertical="center"/>
    </xf>
    <xf numFmtId="165" fontId="6" fillId="5" borderId="14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 indent="2"/>
    </xf>
    <xf numFmtId="44" fontId="1" fillId="7" borderId="9" xfId="0" applyNumberFormat="1" applyFont="1" applyFill="1" applyBorder="1" applyAlignment="1">
      <alignment horizontal="center" vertical="center"/>
    </xf>
    <xf numFmtId="165" fontId="1" fillId="7" borderId="4" xfId="0" applyNumberFormat="1" applyFont="1" applyFill="1" applyBorder="1" applyAlignment="1">
      <alignment horizontal="center" vertical="center"/>
    </xf>
    <xf numFmtId="165" fontId="1" fillId="7" borderId="3" xfId="0" applyNumberFormat="1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 vertical="center"/>
    </xf>
    <xf numFmtId="165" fontId="1" fillId="5" borderId="5" xfId="0" applyNumberFormat="1" applyFont="1" applyFill="1" applyBorder="1" applyAlignment="1">
      <alignment horizontal="center" vertical="center"/>
    </xf>
    <xf numFmtId="165" fontId="1" fillId="5" borderId="6" xfId="0" applyNumberFormat="1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165" fontId="1" fillId="7" borderId="7" xfId="0" applyNumberFormat="1" applyFont="1" applyFill="1" applyBorder="1" applyAlignment="1">
      <alignment horizontal="center" vertical="center"/>
    </xf>
    <xf numFmtId="165" fontId="1" fillId="7" borderId="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right" vertical="center" indent="2"/>
    </xf>
    <xf numFmtId="0" fontId="15" fillId="0" borderId="23" xfId="0" applyFont="1" applyBorder="1" applyAlignment="1">
      <alignment horizontal="left" vertical="center" indent="2"/>
    </xf>
    <xf numFmtId="44" fontId="16" fillId="7" borderId="0" xfId="0" applyNumberFormat="1" applyFont="1" applyFill="1" applyAlignment="1">
      <alignment horizontal="center" vertical="center"/>
    </xf>
    <xf numFmtId="165" fontId="11" fillId="0" borderId="0" xfId="3" applyNumberFormat="1" applyFont="1" applyAlignment="1">
      <alignment horizontal="right" vertical="center" indent="2"/>
    </xf>
    <xf numFmtId="165" fontId="10" fillId="5" borderId="20" xfId="0" applyNumberFormat="1" applyFont="1" applyFill="1" applyBorder="1" applyAlignment="1">
      <alignment horizontal="center" vertical="center"/>
    </xf>
    <xf numFmtId="9" fontId="0" fillId="0" borderId="0" xfId="2" applyFont="1"/>
    <xf numFmtId="165" fontId="0" fillId="0" borderId="0" xfId="3" applyNumberFormat="1" applyFont="1"/>
    <xf numFmtId="0" fontId="0" fillId="5" borderId="0" xfId="0" applyFill="1"/>
    <xf numFmtId="0" fontId="18" fillId="0" borderId="0" xfId="0" applyFont="1" applyAlignment="1">
      <alignment horizontal="left" vertical="center" indent="2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44" fontId="12" fillId="0" borderId="0" xfId="0" applyNumberFormat="1" applyFont="1" applyAlignment="1">
      <alignment horizontal="center" vertical="center"/>
    </xf>
    <xf numFmtId="14" fontId="20" fillId="6" borderId="4" xfId="0" applyNumberFormat="1" applyFont="1" applyFill="1" applyBorder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22" fillId="5" borderId="0" xfId="0" applyFont="1" applyFill="1"/>
    <xf numFmtId="0" fontId="23" fillId="0" borderId="23" xfId="0" applyFont="1" applyBorder="1" applyAlignment="1">
      <alignment horizontal="left" vertical="center" indent="2"/>
    </xf>
    <xf numFmtId="14" fontId="23" fillId="5" borderId="4" xfId="0" applyNumberFormat="1" applyFont="1" applyFill="1" applyBorder="1" applyAlignment="1">
      <alignment horizontal="center" vertical="center"/>
    </xf>
    <xf numFmtId="14" fontId="23" fillId="5" borderId="3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right" vertical="center" indent="2"/>
    </xf>
    <xf numFmtId="0" fontId="26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2"/>
    </xf>
    <xf numFmtId="0" fontId="28" fillId="0" borderId="0" xfId="0" applyFont="1" applyAlignment="1">
      <alignment horizontal="right" vertical="center" indent="2"/>
    </xf>
    <xf numFmtId="0" fontId="18" fillId="0" borderId="0" xfId="0" applyFont="1"/>
    <xf numFmtId="0" fontId="18" fillId="5" borderId="0" xfId="0" applyFont="1" applyFill="1" applyAlignment="1">
      <alignment horizontal="center"/>
    </xf>
    <xf numFmtId="44" fontId="12" fillId="0" borderId="2" xfId="0" applyNumberFormat="1" applyFont="1" applyBorder="1" applyAlignment="1">
      <alignment horizontal="center" vertical="center"/>
    </xf>
    <xf numFmtId="44" fontId="12" fillId="2" borderId="2" xfId="0" applyNumberFormat="1" applyFont="1" applyFill="1" applyBorder="1" applyAlignment="1">
      <alignment horizontal="center" vertical="center"/>
    </xf>
    <xf numFmtId="13" fontId="1" fillId="0" borderId="0" xfId="0" applyNumberFormat="1" applyFont="1" applyAlignment="1">
      <alignment horizontal="center" vertical="center"/>
    </xf>
    <xf numFmtId="0" fontId="30" fillId="0" borderId="0" xfId="0" applyFont="1"/>
    <xf numFmtId="0" fontId="16" fillId="7" borderId="0" xfId="0" applyFont="1" applyFill="1" applyAlignment="1">
      <alignment horizontal="center" vertical="center"/>
    </xf>
    <xf numFmtId="9" fontId="1" fillId="0" borderId="2" xfId="2" applyFont="1" applyBorder="1" applyAlignment="1">
      <alignment horizontal="center" vertical="center"/>
    </xf>
    <xf numFmtId="9" fontId="1" fillId="2" borderId="2" xfId="2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 indent="2"/>
    </xf>
    <xf numFmtId="44" fontId="1" fillId="7" borderId="4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165" fontId="13" fillId="2" borderId="2" xfId="3" applyNumberFormat="1" applyFont="1" applyFill="1" applyBorder="1" applyAlignment="1">
      <alignment horizontal="center" vertical="center"/>
    </xf>
    <xf numFmtId="165" fontId="5" fillId="2" borderId="2" xfId="3" applyNumberFormat="1" applyFont="1" applyFill="1" applyBorder="1" applyAlignment="1">
      <alignment horizontal="center" vertical="center"/>
    </xf>
    <xf numFmtId="165" fontId="13" fillId="3" borderId="2" xfId="3" applyNumberFormat="1" applyFont="1" applyFill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165" fontId="5" fillId="2" borderId="0" xfId="3" applyNumberFormat="1" applyFont="1" applyFill="1" applyAlignment="1">
      <alignment horizontal="center" vertical="center"/>
    </xf>
    <xf numFmtId="0" fontId="31" fillId="5" borderId="0" xfId="0" applyFont="1" applyFill="1"/>
    <xf numFmtId="0" fontId="1" fillId="3" borderId="0" xfId="0" applyFont="1" applyFill="1" applyAlignment="1">
      <alignment vertical="center"/>
    </xf>
    <xf numFmtId="0" fontId="14" fillId="3" borderId="0" xfId="0" applyFont="1" applyFill="1" applyAlignment="1">
      <alignment horizontal="right" vertical="center" indent="2"/>
    </xf>
    <xf numFmtId="165" fontId="1" fillId="3" borderId="9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indent="2"/>
    </xf>
    <xf numFmtId="44" fontId="1" fillId="3" borderId="0" xfId="0" applyNumberFormat="1" applyFont="1" applyFill="1" applyAlignment="1">
      <alignment horizontal="center" vertical="center"/>
    </xf>
    <xf numFmtId="165" fontId="6" fillId="0" borderId="25" xfId="0" applyNumberFormat="1" applyFont="1" applyBorder="1" applyAlignment="1">
      <alignment horizontal="center" vertical="center"/>
    </xf>
    <xf numFmtId="165" fontId="6" fillId="2" borderId="26" xfId="0" applyNumberFormat="1" applyFont="1" applyFill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165" fontId="6" fillId="5" borderId="27" xfId="0" applyNumberFormat="1" applyFont="1" applyFill="1" applyBorder="1" applyAlignment="1">
      <alignment horizontal="center" vertical="center"/>
    </xf>
    <xf numFmtId="165" fontId="6" fillId="0" borderId="28" xfId="0" applyNumberFormat="1" applyFont="1" applyBorder="1" applyAlignment="1">
      <alignment horizontal="center" vertical="center"/>
    </xf>
    <xf numFmtId="165" fontId="6" fillId="0" borderId="29" xfId="0" applyNumberFormat="1" applyFont="1" applyBorder="1" applyAlignment="1">
      <alignment horizontal="center" vertical="center"/>
    </xf>
    <xf numFmtId="0" fontId="26" fillId="3" borderId="0" xfId="0" applyFont="1" applyFill="1" applyAlignment="1">
      <alignment horizontal="left" vertical="center" indent="2"/>
    </xf>
    <xf numFmtId="165" fontId="1" fillId="8" borderId="2" xfId="0" applyNumberFormat="1" applyFont="1" applyFill="1" applyBorder="1" applyAlignment="1">
      <alignment horizontal="center" vertical="center"/>
    </xf>
    <xf numFmtId="165" fontId="6" fillId="2" borderId="28" xfId="0" applyNumberFormat="1" applyFont="1" applyFill="1" applyBorder="1" applyAlignment="1">
      <alignment horizontal="center" vertical="center"/>
    </xf>
    <xf numFmtId="165" fontId="10" fillId="5" borderId="30" xfId="0" applyNumberFormat="1" applyFont="1" applyFill="1" applyBorder="1" applyAlignment="1">
      <alignment horizontal="center" vertical="center"/>
    </xf>
    <xf numFmtId="165" fontId="6" fillId="0" borderId="31" xfId="0" applyNumberFormat="1" applyFont="1" applyBorder="1" applyAlignment="1">
      <alignment horizontal="center" vertical="center"/>
    </xf>
    <xf numFmtId="165" fontId="10" fillId="5" borderId="8" xfId="0" applyNumberFormat="1" applyFont="1" applyFill="1" applyBorder="1" applyAlignment="1">
      <alignment horizontal="center" vertical="center"/>
    </xf>
    <xf numFmtId="165" fontId="6" fillId="2" borderId="29" xfId="0" applyNumberFormat="1" applyFont="1" applyFill="1" applyBorder="1" applyAlignment="1">
      <alignment horizontal="center" vertical="center"/>
    </xf>
    <xf numFmtId="165" fontId="10" fillId="5" borderId="29" xfId="0" applyNumberFormat="1" applyFont="1" applyFill="1" applyBorder="1" applyAlignment="1">
      <alignment horizontal="center" vertical="center"/>
    </xf>
    <xf numFmtId="44" fontId="1" fillId="0" borderId="29" xfId="0" applyNumberFormat="1" applyFont="1" applyBorder="1" applyAlignment="1">
      <alignment horizontal="center" vertical="center"/>
    </xf>
    <xf numFmtId="165" fontId="6" fillId="0" borderId="32" xfId="3" applyNumberFormat="1" applyFont="1" applyBorder="1" applyAlignment="1">
      <alignment horizontal="center" vertical="center"/>
    </xf>
    <xf numFmtId="165" fontId="6" fillId="0" borderId="33" xfId="3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4" fillId="5" borderId="0" xfId="0" applyFont="1" applyFill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165" fontId="10" fillId="5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right" vertical="center"/>
    </xf>
    <xf numFmtId="44" fontId="1" fillId="3" borderId="2" xfId="0" applyNumberFormat="1" applyFont="1" applyFill="1" applyBorder="1" applyAlignment="1">
      <alignment horizontal="center" vertical="center"/>
    </xf>
    <xf numFmtId="10" fontId="1" fillId="0" borderId="0" xfId="0" applyNumberFormat="1" applyFont="1" applyAlignment="1">
      <alignment vertical="center"/>
    </xf>
    <xf numFmtId="165" fontId="29" fillId="2" borderId="2" xfId="0" applyNumberFormat="1" applyFont="1" applyFill="1" applyBorder="1" applyAlignment="1">
      <alignment horizontal="center" vertical="center"/>
    </xf>
    <xf numFmtId="165" fontId="1" fillId="2" borderId="24" xfId="1" applyNumberFormat="1" applyFont="1" applyFill="1" applyBorder="1" applyAlignment="1">
      <alignment horizontal="center" vertical="center"/>
    </xf>
    <xf numFmtId="165" fontId="1" fillId="2" borderId="24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165" fontId="10" fillId="5" borderId="14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 applyAlignment="1">
      <alignment horizontal="center" vertical="center"/>
    </xf>
    <xf numFmtId="165" fontId="10" fillId="5" borderId="13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top"/>
    </xf>
    <xf numFmtId="165" fontId="21" fillId="6" borderId="1" xfId="0" applyNumberFormat="1" applyFont="1" applyFill="1" applyBorder="1" applyAlignment="1">
      <alignment horizontal="center" vertical="center"/>
    </xf>
    <xf numFmtId="165" fontId="23" fillId="5" borderId="1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usiness Templates">
  <a:themeElements>
    <a:clrScheme name="TM0058758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954F72"/>
      </a:folHlink>
    </a:clrScheme>
    <a:fontScheme name="Custom 22">
      <a:majorFont>
        <a:latin typeface="Franklin Gothic Medium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showGridLines="0" zoomScale="73" zoomScaleNormal="100" workbookViewId="0">
      <selection activeCell="D12" sqref="D12"/>
    </sheetView>
  </sheetViews>
  <sheetFormatPr defaultColWidth="9" defaultRowHeight="22.2" customHeight="1" x14ac:dyDescent="0.35"/>
  <cols>
    <col min="1" max="1" width="1.81640625" style="2" customWidth="1"/>
    <col min="2" max="2" width="49.54296875" style="8" customWidth="1"/>
    <col min="3" max="3" width="15.453125" style="3" bestFit="1" customWidth="1"/>
    <col min="4" max="4" width="21" style="3" customWidth="1"/>
    <col min="5" max="5" width="20.90625" style="3" customWidth="1"/>
    <col min="6" max="7" width="11.453125" style="3" customWidth="1"/>
    <col min="8" max="8" width="18" style="3" customWidth="1"/>
    <col min="9" max="9" width="18.90625" style="3" bestFit="1" customWidth="1"/>
    <col min="10" max="10" width="24.36328125" style="2" customWidth="1"/>
    <col min="11" max="16384" width="9" style="2"/>
  </cols>
  <sheetData>
    <row r="1" spans="1:11" s="7" customFormat="1" ht="46.2" x14ac:dyDescent="0.85">
      <c r="A1" s="2"/>
      <c r="B1" s="163" t="s">
        <v>0</v>
      </c>
      <c r="C1" s="163"/>
      <c r="D1" s="163"/>
      <c r="E1" s="163"/>
      <c r="F1" s="163"/>
      <c r="G1" s="163"/>
      <c r="H1" s="163"/>
      <c r="I1" s="163"/>
    </row>
    <row r="2" spans="1:11" ht="46.2" x14ac:dyDescent="0.85">
      <c r="B2" s="164" t="s">
        <v>1</v>
      </c>
      <c r="C2" s="163"/>
      <c r="D2" s="163"/>
      <c r="E2" s="163"/>
      <c r="F2" s="163"/>
      <c r="G2" s="163"/>
      <c r="H2" s="163"/>
      <c r="I2" s="163"/>
      <c r="J2" s="2" t="s">
        <v>2</v>
      </c>
    </row>
    <row r="3" spans="1:11" ht="21" customHeight="1" x14ac:dyDescent="0.35">
      <c r="B3" s="82" t="s">
        <v>3</v>
      </c>
      <c r="C3" s="82" t="s">
        <v>4</v>
      </c>
      <c r="D3" s="82"/>
    </row>
    <row r="4" spans="1:11" ht="22.2" customHeight="1" x14ac:dyDescent="0.35">
      <c r="B4" s="75" t="s">
        <v>5</v>
      </c>
      <c r="C4" s="11"/>
      <c r="D4" s="11"/>
      <c r="E4" s="11"/>
      <c r="F4" s="11"/>
      <c r="G4" s="11"/>
      <c r="H4" s="11"/>
      <c r="I4" s="11"/>
    </row>
    <row r="5" spans="1:11" ht="22.2" customHeight="1" x14ac:dyDescent="0.35">
      <c r="B5" s="22"/>
      <c r="C5" s="23"/>
      <c r="D5" s="23"/>
      <c r="E5" s="23"/>
      <c r="F5" s="23"/>
      <c r="G5" s="23"/>
      <c r="H5" s="23"/>
      <c r="I5" s="23"/>
    </row>
    <row r="6" spans="1:11" ht="19.95" customHeight="1" x14ac:dyDescent="0.35">
      <c r="B6" s="61"/>
      <c r="C6" s="76" t="s">
        <v>6</v>
      </c>
      <c r="D6" s="76" t="s">
        <v>7</v>
      </c>
      <c r="E6" s="76" t="s">
        <v>8</v>
      </c>
      <c r="F6" s="76" t="s">
        <v>9</v>
      </c>
      <c r="G6" s="76" t="s">
        <v>10</v>
      </c>
      <c r="H6" s="76" t="s">
        <v>11</v>
      </c>
      <c r="I6" s="76" t="s">
        <v>12</v>
      </c>
      <c r="J6" s="106" t="s">
        <v>13</v>
      </c>
    </row>
    <row r="7" spans="1:11" ht="19.95" customHeight="1" x14ac:dyDescent="0.35">
      <c r="B7" s="109" t="s">
        <v>14</v>
      </c>
      <c r="C7" s="103" t="s">
        <v>15</v>
      </c>
      <c r="D7" s="112">
        <v>22653</v>
      </c>
      <c r="E7" s="113">
        <v>22342</v>
      </c>
      <c r="F7" s="21"/>
      <c r="G7" s="21"/>
      <c r="H7" s="21"/>
      <c r="I7" s="21"/>
      <c r="J7" s="108"/>
    </row>
    <row r="8" spans="1:11" ht="22.2" customHeight="1" x14ac:dyDescent="0.35">
      <c r="B8" s="83" t="s">
        <v>16</v>
      </c>
      <c r="C8" s="102" t="s">
        <v>15</v>
      </c>
      <c r="D8" s="114">
        <v>17420</v>
      </c>
      <c r="E8" s="115">
        <v>13999</v>
      </c>
      <c r="F8" s="20">
        <f>700*385</f>
        <v>269500</v>
      </c>
      <c r="G8" s="20">
        <v>350000</v>
      </c>
      <c r="H8" s="20">
        <f>E8*F8</f>
        <v>3772730500</v>
      </c>
      <c r="I8" s="20">
        <f>E8*G8</f>
        <v>4899650000</v>
      </c>
      <c r="J8" s="107">
        <v>1</v>
      </c>
    </row>
    <row r="9" spans="1:11" ht="22.2" customHeight="1" x14ac:dyDescent="0.35">
      <c r="B9" s="83" t="s">
        <v>17</v>
      </c>
      <c r="C9" s="103" t="s">
        <v>18</v>
      </c>
      <c r="D9" s="116">
        <v>212</v>
      </c>
      <c r="E9" s="113">
        <f>D9</f>
        <v>212</v>
      </c>
      <c r="F9" s="21">
        <v>2000000</v>
      </c>
      <c r="G9" s="21">
        <v>4000000</v>
      </c>
      <c r="H9" s="21">
        <f>F9*E9</f>
        <v>424000000</v>
      </c>
      <c r="I9" s="21">
        <f>G9*E9</f>
        <v>848000000</v>
      </c>
      <c r="J9" s="108"/>
      <c r="K9" s="24"/>
    </row>
    <row r="10" spans="1:11" ht="22.2" customHeight="1" x14ac:dyDescent="0.35">
      <c r="C10" s="5"/>
      <c r="D10" s="5"/>
      <c r="E10" s="20"/>
      <c r="F10" s="20"/>
      <c r="G10" s="20"/>
      <c r="H10" s="20"/>
      <c r="I10" s="20"/>
    </row>
    <row r="11" spans="1:11" ht="22.2" customHeight="1" x14ac:dyDescent="0.35">
      <c r="B11" s="75" t="s">
        <v>19</v>
      </c>
      <c r="C11" s="6"/>
      <c r="D11" s="6"/>
      <c r="E11" s="21"/>
      <c r="F11" s="21"/>
      <c r="G11" s="21"/>
      <c r="H11" s="21"/>
      <c r="I11" s="21"/>
    </row>
    <row r="12" spans="1:11" ht="22.2" customHeight="1" x14ac:dyDescent="0.35">
      <c r="C12" s="5"/>
      <c r="D12" s="5"/>
      <c r="E12" s="20"/>
      <c r="F12" s="20"/>
      <c r="G12" s="20"/>
      <c r="H12" s="20"/>
      <c r="I12" s="20"/>
    </row>
    <row r="13" spans="1:11" ht="22.2" customHeight="1" x14ac:dyDescent="0.35">
      <c r="B13" s="83" t="s">
        <v>20</v>
      </c>
      <c r="C13" s="6"/>
      <c r="D13" s="6"/>
      <c r="E13" s="21"/>
      <c r="F13" s="21"/>
      <c r="G13" s="21"/>
      <c r="H13" s="156">
        <v>200000</v>
      </c>
      <c r="I13" s="21"/>
    </row>
    <row r="14" spans="1:11" ht="22.2" customHeight="1" x14ac:dyDescent="0.35">
      <c r="B14" s="111" t="s">
        <v>21</v>
      </c>
      <c r="C14" s="154"/>
      <c r="D14" s="154"/>
      <c r="E14" s="25"/>
      <c r="F14" s="25"/>
      <c r="G14" s="25"/>
      <c r="H14" s="25">
        <f>SUM(H8:H9)</f>
        <v>4196730500</v>
      </c>
      <c r="I14" s="25"/>
    </row>
    <row r="15" spans="1:11" ht="22.2" customHeight="1" x14ac:dyDescent="0.35">
      <c r="B15" s="111" t="s">
        <v>22</v>
      </c>
      <c r="C15" s="6"/>
      <c r="D15" s="6"/>
      <c r="E15" s="21"/>
      <c r="F15" s="21"/>
      <c r="G15" s="21"/>
      <c r="H15" s="131"/>
      <c r="I15" s="21"/>
    </row>
    <row r="16" spans="1:11" ht="22.2" customHeight="1" x14ac:dyDescent="0.35">
      <c r="B16" s="83" t="s">
        <v>23</v>
      </c>
      <c r="C16" s="154"/>
      <c r="D16" s="154"/>
      <c r="E16" s="25"/>
      <c r="F16" s="25"/>
      <c r="G16" s="25"/>
      <c r="H16" s="25">
        <f>H14*0.02</f>
        <v>83934610</v>
      </c>
      <c r="I16" s="25"/>
    </row>
    <row r="17" spans="2:9" ht="22.2" customHeight="1" x14ac:dyDescent="0.35">
      <c r="C17" s="6"/>
      <c r="D17" s="6"/>
      <c r="E17" s="21"/>
      <c r="F17" s="21"/>
      <c r="G17" s="21"/>
      <c r="H17" s="21"/>
      <c r="I17" s="21"/>
    </row>
    <row r="18" spans="2:9" ht="32.25" customHeight="1" x14ac:dyDescent="0.35">
      <c r="B18" s="74" t="s">
        <v>24</v>
      </c>
      <c r="C18" s="62"/>
      <c r="D18" s="110"/>
      <c r="E18" s="63"/>
      <c r="F18" s="63"/>
      <c r="G18" s="64"/>
      <c r="H18" s="65">
        <f>SUM(H13:H16)</f>
        <v>4280865110</v>
      </c>
      <c r="I18" s="65">
        <f>SUM(I8:I17)</f>
        <v>5747650000</v>
      </c>
    </row>
    <row r="19" spans="2:9" ht="30" customHeight="1" x14ac:dyDescent="0.35"/>
  </sheetData>
  <mergeCells count="2">
    <mergeCell ref="B1:I1"/>
    <mergeCell ref="B2:I2"/>
  </mergeCells>
  <conditionalFormatting sqref="C18:I18">
    <cfRule type="cellIs" dxfId="12" priority="2" operator="lessThan">
      <formula>0</formula>
    </cfRule>
  </conditionalFormatting>
  <dataValidations count="2">
    <dataValidation allowBlank="1" showInputMessage="1" showErrorMessage="1" prompt="Enter the cash receipts items for each month._x000a__x000a_For Returns and allowances, enter the values as positive numbers._x000a_" sqref="B4:B5 B11" xr:uid="{00000000-0002-0000-0000-000000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000-000001000000}"/>
  </dataValidations>
  <printOptions horizontalCentered="1"/>
  <pageMargins left="0.3" right="0.3" top="0.5" bottom="0.5" header="0.3" footer="0.3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opLeftCell="A2" zoomScale="55" zoomScaleNormal="85" workbookViewId="0">
      <selection activeCell="O11" sqref="O11"/>
    </sheetView>
  </sheetViews>
  <sheetFormatPr defaultColWidth="9" defaultRowHeight="13.8" x14ac:dyDescent="0.35"/>
  <cols>
    <col min="1" max="1" width="1.1796875" style="2" customWidth="1"/>
    <col min="2" max="2" width="38.08984375" style="8" customWidth="1"/>
    <col min="3" max="3" width="12.90625" style="3" customWidth="1"/>
    <col min="4" max="4" width="13.54296875" style="3" customWidth="1"/>
    <col min="5" max="5" width="13.81640625" style="3" customWidth="1"/>
    <col min="6" max="7" width="12.90625" style="3" bestFit="1" customWidth="1"/>
    <col min="8" max="8" width="12.81640625" style="3" customWidth="1"/>
    <col min="9" max="10" width="12.90625" style="3" bestFit="1" customWidth="1"/>
    <col min="11" max="11" width="13.6328125" style="3" customWidth="1"/>
    <col min="12" max="12" width="13.1796875" style="3" customWidth="1"/>
    <col min="13" max="14" width="12.90625" style="3" bestFit="1" customWidth="1"/>
    <col min="15" max="15" width="12.81640625" style="3" customWidth="1"/>
    <col min="16" max="16" width="1.81640625" style="2" customWidth="1"/>
    <col min="17" max="17" width="10.90625" style="2" customWidth="1"/>
    <col min="18" max="16384" width="9" style="2"/>
  </cols>
  <sheetData>
    <row r="1" spans="1:16" s="7" customFormat="1" ht="46.2" customHeight="1" x14ac:dyDescent="0.85">
      <c r="A1" s="2"/>
      <c r="B1" s="163" t="s">
        <v>0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6" ht="46.2" x14ac:dyDescent="0.85">
      <c r="B2" s="164" t="s">
        <v>25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2" t="s">
        <v>2</v>
      </c>
    </row>
    <row r="3" spans="1:16" ht="21" customHeight="1" x14ac:dyDescent="0.35">
      <c r="B3" s="82" t="s">
        <v>3</v>
      </c>
      <c r="C3" s="82" t="s">
        <v>4</v>
      </c>
    </row>
    <row r="4" spans="1:16" ht="32.25" customHeight="1" x14ac:dyDescent="0.35">
      <c r="B4" s="82" t="s">
        <v>26</v>
      </c>
      <c r="C4" s="157">
        <f>+Investment!H18</f>
        <v>4280865110</v>
      </c>
      <c r="E4" s="85" t="s">
        <v>27</v>
      </c>
      <c r="F4" s="26">
        <v>46266</v>
      </c>
      <c r="G4" s="14"/>
      <c r="H4" s="86" t="s">
        <v>28</v>
      </c>
      <c r="I4" s="89"/>
      <c r="J4" s="158">
        <f>4*12</f>
        <v>48</v>
      </c>
      <c r="K4" s="87"/>
      <c r="L4" s="87" t="s">
        <v>29</v>
      </c>
      <c r="M4" s="87"/>
      <c r="N4" s="27">
        <v>0.12</v>
      </c>
      <c r="O4" s="14"/>
    </row>
    <row r="5" spans="1:16" ht="32.25" customHeight="1" x14ac:dyDescent="0.35">
      <c r="B5" s="12"/>
      <c r="C5" s="9"/>
      <c r="D5" s="9"/>
      <c r="E5" s="15"/>
      <c r="F5" s="16"/>
      <c r="G5" s="13"/>
      <c r="H5" s="17"/>
      <c r="I5" s="9"/>
      <c r="J5" s="9"/>
      <c r="K5" s="88"/>
      <c r="L5" s="88" t="s">
        <v>30</v>
      </c>
      <c r="M5" s="88"/>
      <c r="N5" s="27">
        <v>0.11</v>
      </c>
      <c r="O5" s="13"/>
    </row>
    <row r="6" spans="1:16" ht="22.2" customHeight="1" x14ac:dyDescent="0.3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4" customFormat="1" ht="32.25" customHeight="1" x14ac:dyDescent="0.35">
      <c r="B7" s="75" t="s">
        <v>31</v>
      </c>
      <c r="C7" s="90" t="s">
        <v>32</v>
      </c>
      <c r="D7" s="90" t="s">
        <v>33</v>
      </c>
      <c r="E7" s="90" t="s">
        <v>34</v>
      </c>
      <c r="F7" s="90" t="s">
        <v>35</v>
      </c>
      <c r="G7" s="90" t="s">
        <v>36</v>
      </c>
      <c r="H7" s="90" t="s">
        <v>37</v>
      </c>
      <c r="I7" s="90" t="s">
        <v>38</v>
      </c>
      <c r="J7" s="90" t="s">
        <v>39</v>
      </c>
      <c r="K7" s="90" t="s">
        <v>40</v>
      </c>
      <c r="L7" s="90" t="s">
        <v>41</v>
      </c>
      <c r="M7" s="90" t="s">
        <v>42</v>
      </c>
      <c r="N7" s="90" t="s">
        <v>43</v>
      </c>
      <c r="O7" s="165" t="s">
        <v>44</v>
      </c>
    </row>
    <row r="8" spans="1:16" ht="32.25" customHeight="1" x14ac:dyDescent="0.35">
      <c r="B8" s="82" t="s">
        <v>45</v>
      </c>
      <c r="C8" s="66">
        <f>C4</f>
        <v>4280865110</v>
      </c>
      <c r="D8" s="67">
        <f t="shared" ref="D8:N8" si="0">+C8-C10</f>
        <v>4191680420.2083335</v>
      </c>
      <c r="E8" s="67">
        <f t="shared" si="0"/>
        <v>4102495730.416667</v>
      </c>
      <c r="F8" s="67">
        <f t="shared" si="0"/>
        <v>4013311040.6250005</v>
      </c>
      <c r="G8" s="67">
        <f t="shared" si="0"/>
        <v>3924126350.833334</v>
      </c>
      <c r="H8" s="67">
        <f t="shared" si="0"/>
        <v>3834941661.0416675</v>
      </c>
      <c r="I8" s="67">
        <f t="shared" si="0"/>
        <v>3745756971.250001</v>
      </c>
      <c r="J8" s="67">
        <f t="shared" si="0"/>
        <v>3656572281.4583344</v>
      </c>
      <c r="K8" s="67">
        <f t="shared" si="0"/>
        <v>3567387591.6666679</v>
      </c>
      <c r="L8" s="67">
        <f t="shared" si="0"/>
        <v>3478202901.8750014</v>
      </c>
      <c r="M8" s="67">
        <f t="shared" si="0"/>
        <v>3389018212.0833349</v>
      </c>
      <c r="N8" s="67">
        <f t="shared" si="0"/>
        <v>3299833522.2916684</v>
      </c>
      <c r="O8" s="165"/>
    </row>
    <row r="9" spans="1:16" ht="30" customHeight="1" x14ac:dyDescent="0.35">
      <c r="B9" s="84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6" ht="22.2" customHeight="1" x14ac:dyDescent="0.35">
      <c r="B10" s="82" t="s">
        <v>46</v>
      </c>
      <c r="C10" s="20">
        <f>C8/J4</f>
        <v>89184689.791666672</v>
      </c>
      <c r="D10" s="20">
        <f>+C10</f>
        <v>89184689.791666672</v>
      </c>
      <c r="E10" s="20">
        <f t="shared" ref="E10:N10" si="1">+D10</f>
        <v>89184689.791666672</v>
      </c>
      <c r="F10" s="20">
        <f t="shared" si="1"/>
        <v>89184689.791666672</v>
      </c>
      <c r="G10" s="20">
        <f t="shared" si="1"/>
        <v>89184689.791666672</v>
      </c>
      <c r="H10" s="20">
        <f t="shared" si="1"/>
        <v>89184689.791666672</v>
      </c>
      <c r="I10" s="20">
        <f t="shared" si="1"/>
        <v>89184689.791666672</v>
      </c>
      <c r="J10" s="20">
        <f t="shared" si="1"/>
        <v>89184689.791666672</v>
      </c>
      <c r="K10" s="20">
        <f t="shared" si="1"/>
        <v>89184689.791666672</v>
      </c>
      <c r="L10" s="20">
        <f t="shared" si="1"/>
        <v>89184689.791666672</v>
      </c>
      <c r="M10" s="20">
        <f t="shared" si="1"/>
        <v>89184689.791666672</v>
      </c>
      <c r="N10" s="20">
        <f t="shared" si="1"/>
        <v>89184689.791666672</v>
      </c>
      <c r="O10" s="70">
        <f t="shared" ref="O10:O12" si="2">SUM(C10:N10)</f>
        <v>1070216277.4999999</v>
      </c>
    </row>
    <row r="11" spans="1:16" ht="22.2" customHeight="1" x14ac:dyDescent="0.35">
      <c r="B11" s="82" t="s">
        <v>47</v>
      </c>
      <c r="C11" s="21">
        <f>+C8*$N$4/12</f>
        <v>42808651.100000001</v>
      </c>
      <c r="D11" s="21">
        <f t="shared" ref="D11:N11" si="3">+D8*$N$4/12</f>
        <v>41916804.202083334</v>
      </c>
      <c r="E11" s="21">
        <f t="shared" si="3"/>
        <v>41024957.304166667</v>
      </c>
      <c r="F11" s="21">
        <f t="shared" si="3"/>
        <v>40133110.406250007</v>
      </c>
      <c r="G11" s="21">
        <f>+G8*$N$4/12</f>
        <v>39241263.50833334</v>
      </c>
      <c r="H11" s="21">
        <f t="shared" si="3"/>
        <v>38349416.610416673</v>
      </c>
      <c r="I11" s="21">
        <f t="shared" si="3"/>
        <v>37457569.712500006</v>
      </c>
      <c r="J11" s="21">
        <f t="shared" si="3"/>
        <v>36565722.814583339</v>
      </c>
      <c r="K11" s="21">
        <f t="shared" si="3"/>
        <v>35673875.916666679</v>
      </c>
      <c r="L11" s="21">
        <f t="shared" si="3"/>
        <v>34782029.018750012</v>
      </c>
      <c r="M11" s="21">
        <f t="shared" si="3"/>
        <v>33890182.120833345</v>
      </c>
      <c r="N11" s="21">
        <f t="shared" si="3"/>
        <v>32998335.222916681</v>
      </c>
      <c r="O11" s="70">
        <f t="shared" si="2"/>
        <v>454841917.93750012</v>
      </c>
    </row>
    <row r="12" spans="1:16" ht="32.25" customHeight="1" x14ac:dyDescent="0.35">
      <c r="B12" s="74" t="s">
        <v>48</v>
      </c>
      <c r="C12" s="68">
        <f>+C10+C11</f>
        <v>131993340.89166668</v>
      </c>
      <c r="D12" s="68">
        <f t="shared" ref="D12:N12" si="4">+D10+D11</f>
        <v>131101493.99375001</v>
      </c>
      <c r="E12" s="68">
        <f t="shared" si="4"/>
        <v>130209647.09583333</v>
      </c>
      <c r="F12" s="68">
        <f t="shared" si="4"/>
        <v>129317800.19791669</v>
      </c>
      <c r="G12" s="68">
        <f t="shared" si="4"/>
        <v>128425953.30000001</v>
      </c>
      <c r="H12" s="68">
        <f t="shared" si="4"/>
        <v>127534106.40208334</v>
      </c>
      <c r="I12" s="68">
        <f t="shared" si="4"/>
        <v>126642259.50416668</v>
      </c>
      <c r="J12" s="68">
        <f t="shared" si="4"/>
        <v>125750412.60625002</v>
      </c>
      <c r="K12" s="68">
        <f t="shared" si="4"/>
        <v>124858565.70833334</v>
      </c>
      <c r="L12" s="68">
        <f t="shared" si="4"/>
        <v>123966718.81041668</v>
      </c>
      <c r="M12" s="68">
        <f t="shared" si="4"/>
        <v>123074871.91250002</v>
      </c>
      <c r="N12" s="68">
        <f t="shared" si="4"/>
        <v>122183025.01458335</v>
      </c>
      <c r="O12" s="70">
        <f t="shared" si="2"/>
        <v>1525058195.4375002</v>
      </c>
    </row>
    <row r="13" spans="1:16" ht="22.2" customHeight="1" x14ac:dyDescent="0.35">
      <c r="B13" s="84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71">
        <f t="shared" ref="O13:O20" si="5">SUM(C13:N13)</f>
        <v>0</v>
      </c>
    </row>
    <row r="14" spans="1:16" s="4" customFormat="1" ht="32.25" customHeight="1" x14ac:dyDescent="0.35">
      <c r="B14" s="75" t="s">
        <v>49</v>
      </c>
      <c r="C14" s="90" t="str">
        <f>+C7</f>
        <v>ԱՄԻՍ 1</v>
      </c>
      <c r="D14" s="90" t="str">
        <f t="shared" ref="D14:N14" si="6">+D7</f>
        <v>ԱՄԻՍ 2</v>
      </c>
      <c r="E14" s="90" t="str">
        <f t="shared" si="6"/>
        <v>ԱՄԻՍ 3</v>
      </c>
      <c r="F14" s="90" t="str">
        <f t="shared" si="6"/>
        <v>ԱՄԻՍ 4</v>
      </c>
      <c r="G14" s="90" t="str">
        <f t="shared" si="6"/>
        <v>ԱՄԻՍ 5</v>
      </c>
      <c r="H14" s="90" t="str">
        <f t="shared" si="6"/>
        <v>ԱՄԻՍ 6</v>
      </c>
      <c r="I14" s="90" t="str">
        <f t="shared" si="6"/>
        <v>ԱՄԻՍ 7</v>
      </c>
      <c r="J14" s="90" t="str">
        <f t="shared" si="6"/>
        <v>ԱՄԻՍ 8</v>
      </c>
      <c r="K14" s="90" t="str">
        <f t="shared" si="6"/>
        <v>ԱՄԻՍ 9</v>
      </c>
      <c r="L14" s="90" t="str">
        <f t="shared" si="6"/>
        <v>ԱՄԻՍ 10</v>
      </c>
      <c r="M14" s="90" t="str">
        <f t="shared" si="6"/>
        <v>ԱՄԻՍ 11</v>
      </c>
      <c r="N14" s="90" t="str">
        <f t="shared" si="6"/>
        <v>ԱՄԻՍ 12</v>
      </c>
      <c r="O14" s="165" t="s">
        <v>44</v>
      </c>
    </row>
    <row r="15" spans="1:16" ht="32.25" customHeight="1" x14ac:dyDescent="0.35">
      <c r="B15" s="82" t="s">
        <v>45</v>
      </c>
      <c r="C15" s="66">
        <f>+N8-N10</f>
        <v>3210648832.5000019</v>
      </c>
      <c r="D15" s="67">
        <f t="shared" ref="D15:N15" si="7">+C15-C17</f>
        <v>3121464142.7083354</v>
      </c>
      <c r="E15" s="67">
        <f t="shared" si="7"/>
        <v>3032279452.9166689</v>
      </c>
      <c r="F15" s="67">
        <f t="shared" si="7"/>
        <v>2943094763.1250024</v>
      </c>
      <c r="G15" s="67">
        <f t="shared" si="7"/>
        <v>2853910073.3333359</v>
      </c>
      <c r="H15" s="67">
        <f t="shared" si="7"/>
        <v>2764725383.5416694</v>
      </c>
      <c r="I15" s="67">
        <f t="shared" si="7"/>
        <v>2675540693.7500029</v>
      </c>
      <c r="J15" s="67">
        <f t="shared" si="7"/>
        <v>2586356003.9583364</v>
      </c>
      <c r="K15" s="67">
        <f t="shared" si="7"/>
        <v>2497171314.1666698</v>
      </c>
      <c r="L15" s="67">
        <f t="shared" si="7"/>
        <v>2407986624.3750033</v>
      </c>
      <c r="M15" s="67">
        <f t="shared" si="7"/>
        <v>2318801934.5833368</v>
      </c>
      <c r="N15" s="67">
        <f t="shared" si="7"/>
        <v>2229617244.7916703</v>
      </c>
      <c r="O15" s="165"/>
    </row>
    <row r="16" spans="1:16" ht="30" customHeight="1" x14ac:dyDescent="0.35">
      <c r="B16" s="84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2:17" ht="22.2" customHeight="1" x14ac:dyDescent="0.35">
      <c r="B17" s="82" t="s">
        <v>46</v>
      </c>
      <c r="C17" s="20">
        <f>+C10</f>
        <v>89184689.791666672</v>
      </c>
      <c r="D17" s="20">
        <f>+C17</f>
        <v>89184689.791666672</v>
      </c>
      <c r="E17" s="20">
        <f t="shared" ref="E17" si="8">+D17</f>
        <v>89184689.791666672</v>
      </c>
      <c r="F17" s="20">
        <f t="shared" ref="F17" si="9">+E17</f>
        <v>89184689.791666672</v>
      </c>
      <c r="G17" s="20">
        <f t="shared" ref="G17" si="10">+F17</f>
        <v>89184689.791666672</v>
      </c>
      <c r="H17" s="20">
        <f t="shared" ref="H17" si="11">+G17</f>
        <v>89184689.791666672</v>
      </c>
      <c r="I17" s="20">
        <f t="shared" ref="I17" si="12">+H17</f>
        <v>89184689.791666672</v>
      </c>
      <c r="J17" s="20">
        <f t="shared" ref="J17" si="13">+I17</f>
        <v>89184689.791666672</v>
      </c>
      <c r="K17" s="20">
        <f t="shared" ref="K17" si="14">+J17</f>
        <v>89184689.791666672</v>
      </c>
      <c r="L17" s="20">
        <f t="shared" ref="L17" si="15">+K17</f>
        <v>89184689.791666672</v>
      </c>
      <c r="M17" s="20">
        <f t="shared" ref="M17" si="16">+L17</f>
        <v>89184689.791666672</v>
      </c>
      <c r="N17" s="20">
        <f t="shared" ref="N17" si="17">+M17</f>
        <v>89184689.791666672</v>
      </c>
      <c r="O17" s="70">
        <f t="shared" ref="O17:O19" si="18">SUM(C17:N17)</f>
        <v>1070216277.4999999</v>
      </c>
    </row>
    <row r="18" spans="2:17" ht="22.2" customHeight="1" x14ac:dyDescent="0.35">
      <c r="B18" s="82" t="s">
        <v>47</v>
      </c>
      <c r="C18" s="21">
        <f t="shared" ref="C18:N18" si="19">+C15*$N$4/12</f>
        <v>32106488.325000018</v>
      </c>
      <c r="D18" s="21">
        <f t="shared" si="19"/>
        <v>31214641.427083354</v>
      </c>
      <c r="E18" s="21">
        <f t="shared" si="19"/>
        <v>30322794.529166687</v>
      </c>
      <c r="F18" s="21">
        <f t="shared" si="19"/>
        <v>29430947.631250024</v>
      </c>
      <c r="G18" s="21">
        <f t="shared" si="19"/>
        <v>28539100.73333336</v>
      </c>
      <c r="H18" s="21">
        <f t="shared" si="19"/>
        <v>27647253.835416693</v>
      </c>
      <c r="I18" s="21">
        <f t="shared" si="19"/>
        <v>26755406.93750003</v>
      </c>
      <c r="J18" s="21">
        <f t="shared" si="19"/>
        <v>25863560.039583359</v>
      </c>
      <c r="K18" s="21">
        <f t="shared" si="19"/>
        <v>24971713.141666695</v>
      </c>
      <c r="L18" s="21">
        <f t="shared" si="19"/>
        <v>24079866.243750032</v>
      </c>
      <c r="M18" s="21">
        <f t="shared" si="19"/>
        <v>23188019.345833365</v>
      </c>
      <c r="N18" s="21">
        <f t="shared" si="19"/>
        <v>22296172.447916701</v>
      </c>
      <c r="O18" s="70">
        <f t="shared" si="18"/>
        <v>326415964.63750029</v>
      </c>
    </row>
    <row r="19" spans="2:17" ht="32.25" customHeight="1" x14ac:dyDescent="0.35">
      <c r="B19" s="74" t="s">
        <v>48</v>
      </c>
      <c r="C19" s="68">
        <f>+C17+C18</f>
        <v>121291178.11666669</v>
      </c>
      <c r="D19" s="68">
        <f t="shared" ref="D19" si="20">+D17+D18</f>
        <v>120399331.21875003</v>
      </c>
      <c r="E19" s="68">
        <f t="shared" ref="E19" si="21">+E17+E18</f>
        <v>119507484.32083336</v>
      </c>
      <c r="F19" s="68">
        <f t="shared" ref="F19" si="22">+F17+F18</f>
        <v>118615637.4229167</v>
      </c>
      <c r="G19" s="68">
        <f t="shared" ref="G19" si="23">+G17+G18</f>
        <v>117723790.52500004</v>
      </c>
      <c r="H19" s="68">
        <f t="shared" ref="H19" si="24">+H17+H18</f>
        <v>116831943.62708336</v>
      </c>
      <c r="I19" s="68">
        <f t="shared" ref="I19" si="25">+I17+I18</f>
        <v>115940096.7291667</v>
      </c>
      <c r="J19" s="68">
        <f t="shared" ref="J19" si="26">+J17+J18</f>
        <v>115048249.83125003</v>
      </c>
      <c r="K19" s="68">
        <f t="shared" ref="K19" si="27">+K17+K18</f>
        <v>114156402.93333337</v>
      </c>
      <c r="L19" s="68">
        <f t="shared" ref="L19" si="28">+L17+L18</f>
        <v>113264556.03541671</v>
      </c>
      <c r="M19" s="68">
        <f t="shared" ref="M19" si="29">+M17+M18</f>
        <v>112372709.13750003</v>
      </c>
      <c r="N19" s="68">
        <f t="shared" ref="N19" si="30">+N17+N18</f>
        <v>111480862.23958337</v>
      </c>
      <c r="O19" s="70">
        <f t="shared" si="18"/>
        <v>1396632242.1375008</v>
      </c>
    </row>
    <row r="20" spans="2:17" ht="22.2" customHeight="1" x14ac:dyDescent="0.35">
      <c r="B20" s="8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71">
        <f t="shared" si="5"/>
        <v>0</v>
      </c>
    </row>
    <row r="21" spans="2:17" s="4" customFormat="1" ht="32.25" customHeight="1" x14ac:dyDescent="0.35">
      <c r="B21" s="75" t="s">
        <v>50</v>
      </c>
      <c r="C21" s="90" t="str">
        <f>+C14</f>
        <v>ԱՄԻՍ 1</v>
      </c>
      <c r="D21" s="90" t="str">
        <f t="shared" ref="D21:N21" si="31">+D14</f>
        <v>ԱՄԻՍ 2</v>
      </c>
      <c r="E21" s="90" t="str">
        <f t="shared" si="31"/>
        <v>ԱՄԻՍ 3</v>
      </c>
      <c r="F21" s="90" t="str">
        <f t="shared" si="31"/>
        <v>ԱՄԻՍ 4</v>
      </c>
      <c r="G21" s="90" t="str">
        <f t="shared" si="31"/>
        <v>ԱՄԻՍ 5</v>
      </c>
      <c r="H21" s="90" t="str">
        <f t="shared" si="31"/>
        <v>ԱՄԻՍ 6</v>
      </c>
      <c r="I21" s="90" t="str">
        <f t="shared" si="31"/>
        <v>ԱՄԻՍ 7</v>
      </c>
      <c r="J21" s="90" t="str">
        <f t="shared" si="31"/>
        <v>ԱՄԻՍ 8</v>
      </c>
      <c r="K21" s="90" t="str">
        <f t="shared" si="31"/>
        <v>ԱՄԻՍ 9</v>
      </c>
      <c r="L21" s="90" t="str">
        <f t="shared" si="31"/>
        <v>ԱՄԻՍ 10</v>
      </c>
      <c r="M21" s="90" t="str">
        <f t="shared" si="31"/>
        <v>ԱՄԻՍ 11</v>
      </c>
      <c r="N21" s="90" t="str">
        <f t="shared" si="31"/>
        <v>ԱՄԻՍ 12</v>
      </c>
      <c r="O21" s="165" t="s">
        <v>44</v>
      </c>
    </row>
    <row r="22" spans="2:17" ht="32.25" customHeight="1" x14ac:dyDescent="0.35">
      <c r="B22" s="82" t="s">
        <v>45</v>
      </c>
      <c r="C22" s="66">
        <f>+N15-N17</f>
        <v>2140432555.0000036</v>
      </c>
      <c r="D22" s="67">
        <f t="shared" ref="D22:N22" si="32">+C22-C24</f>
        <v>2051247865.2083368</v>
      </c>
      <c r="E22" s="67">
        <f t="shared" si="32"/>
        <v>1962063175.4166701</v>
      </c>
      <c r="F22" s="67">
        <f t="shared" si="32"/>
        <v>1872878485.6250033</v>
      </c>
      <c r="G22" s="67">
        <f t="shared" si="32"/>
        <v>1783693795.8333366</v>
      </c>
      <c r="H22" s="67">
        <f t="shared" si="32"/>
        <v>1694509106.0416698</v>
      </c>
      <c r="I22" s="67">
        <f t="shared" si="32"/>
        <v>1605324416.2500031</v>
      </c>
      <c r="J22" s="67">
        <f t="shared" si="32"/>
        <v>1516139726.4583364</v>
      </c>
      <c r="K22" s="67">
        <f t="shared" si="32"/>
        <v>1426955036.6666696</v>
      </c>
      <c r="L22" s="67">
        <f t="shared" si="32"/>
        <v>1337770346.8750029</v>
      </c>
      <c r="M22" s="67">
        <f t="shared" si="32"/>
        <v>1248585657.0833361</v>
      </c>
      <c r="N22" s="67">
        <f t="shared" si="32"/>
        <v>1159400967.2916694</v>
      </c>
      <c r="O22" s="165"/>
    </row>
    <row r="23" spans="2:17" ht="30" customHeight="1" x14ac:dyDescent="0.35">
      <c r="B23" s="84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17" ht="22.2" customHeight="1" x14ac:dyDescent="0.35">
      <c r="B24" s="82" t="s">
        <v>46</v>
      </c>
      <c r="C24" s="20">
        <f>+C17</f>
        <v>89184689.791666672</v>
      </c>
      <c r="D24" s="20">
        <f>+C24</f>
        <v>89184689.791666672</v>
      </c>
      <c r="E24" s="20">
        <f t="shared" ref="E24" si="33">+D24</f>
        <v>89184689.791666672</v>
      </c>
      <c r="F24" s="20">
        <f t="shared" ref="F24" si="34">+E24</f>
        <v>89184689.791666672</v>
      </c>
      <c r="G24" s="20">
        <f t="shared" ref="G24" si="35">+F24</f>
        <v>89184689.791666672</v>
      </c>
      <c r="H24" s="20">
        <f t="shared" ref="H24" si="36">+G24</f>
        <v>89184689.791666672</v>
      </c>
      <c r="I24" s="20">
        <f t="shared" ref="I24" si="37">+H24</f>
        <v>89184689.791666672</v>
      </c>
      <c r="J24" s="20">
        <f t="shared" ref="J24" si="38">+I24</f>
        <v>89184689.791666672</v>
      </c>
      <c r="K24" s="20">
        <f t="shared" ref="K24" si="39">+J24</f>
        <v>89184689.791666672</v>
      </c>
      <c r="L24" s="20">
        <f t="shared" ref="L24" si="40">+K24</f>
        <v>89184689.791666672</v>
      </c>
      <c r="M24" s="20">
        <f t="shared" ref="M24" si="41">+L24</f>
        <v>89184689.791666672</v>
      </c>
      <c r="N24" s="20">
        <f t="shared" ref="N24" si="42">+M24</f>
        <v>89184689.791666672</v>
      </c>
      <c r="O24" s="69">
        <f t="shared" ref="O24:O26" si="43">SUM(C24:N24)</f>
        <v>1070216277.4999999</v>
      </c>
    </row>
    <row r="25" spans="2:17" ht="22.2" customHeight="1" x14ac:dyDescent="0.35">
      <c r="B25" s="82" t="s">
        <v>47</v>
      </c>
      <c r="C25" s="21">
        <f t="shared" ref="C25:N25" si="44">+C22*$N$4/12</f>
        <v>21404325.550000034</v>
      </c>
      <c r="D25" s="21">
        <f t="shared" si="44"/>
        <v>20512478.652083367</v>
      </c>
      <c r="E25" s="21">
        <f t="shared" si="44"/>
        <v>19620631.7541667</v>
      </c>
      <c r="F25" s="21">
        <f t="shared" si="44"/>
        <v>18728784.856250033</v>
      </c>
      <c r="G25" s="21">
        <f t="shared" si="44"/>
        <v>17836937.958333366</v>
      </c>
      <c r="H25" s="21">
        <f t="shared" si="44"/>
        <v>16945091.060416698</v>
      </c>
      <c r="I25" s="21">
        <f t="shared" si="44"/>
        <v>16053244.162500031</v>
      </c>
      <c r="J25" s="21">
        <f t="shared" si="44"/>
        <v>15161397.264583364</v>
      </c>
      <c r="K25" s="21">
        <f t="shared" si="44"/>
        <v>14269550.366666695</v>
      </c>
      <c r="L25" s="21">
        <f t="shared" si="44"/>
        <v>13377703.468750028</v>
      </c>
      <c r="M25" s="21">
        <f t="shared" si="44"/>
        <v>12485856.570833361</v>
      </c>
      <c r="N25" s="21">
        <f t="shared" si="44"/>
        <v>11594009.672916694</v>
      </c>
      <c r="O25" s="69">
        <f t="shared" si="43"/>
        <v>197990011.33750033</v>
      </c>
    </row>
    <row r="26" spans="2:17" ht="32.25" customHeight="1" x14ac:dyDescent="0.35">
      <c r="B26" s="74" t="s">
        <v>48</v>
      </c>
      <c r="C26" s="68">
        <f>+C24+C25</f>
        <v>110589015.3416667</v>
      </c>
      <c r="D26" s="68">
        <f t="shared" ref="D26" si="45">+D24+D25</f>
        <v>109697168.44375004</v>
      </c>
      <c r="E26" s="68">
        <f t="shared" ref="E26" si="46">+E24+E25</f>
        <v>108805321.54583338</v>
      </c>
      <c r="F26" s="68">
        <f t="shared" ref="F26" si="47">+F24+F25</f>
        <v>107913474.6479167</v>
      </c>
      <c r="G26" s="68">
        <f t="shared" ref="G26" si="48">+G24+G25</f>
        <v>107021627.75000003</v>
      </c>
      <c r="H26" s="68">
        <f t="shared" ref="H26" si="49">+H24+H25</f>
        <v>106129780.85208337</v>
      </c>
      <c r="I26" s="68">
        <f t="shared" ref="I26" si="50">+I24+I25</f>
        <v>105237933.95416671</v>
      </c>
      <c r="J26" s="68">
        <f t="shared" ref="J26" si="51">+J24+J25</f>
        <v>104346087.05625004</v>
      </c>
      <c r="K26" s="68">
        <f t="shared" ref="K26" si="52">+K24+K25</f>
        <v>103454240.15833336</v>
      </c>
      <c r="L26" s="68">
        <f t="shared" ref="L26" si="53">+L24+L25</f>
        <v>102562393.2604167</v>
      </c>
      <c r="M26" s="68">
        <f t="shared" ref="M26" si="54">+M24+M25</f>
        <v>101670546.36250003</v>
      </c>
      <c r="N26" s="68">
        <f t="shared" ref="N26" si="55">+N24+N25</f>
        <v>100778699.46458337</v>
      </c>
      <c r="O26" s="69">
        <f t="shared" si="43"/>
        <v>1268206288.8375003</v>
      </c>
    </row>
    <row r="27" spans="2:17" ht="33" customHeight="1" x14ac:dyDescent="0.35"/>
    <row r="28" spans="2:17" s="4" customFormat="1" ht="32.25" customHeight="1" x14ac:dyDescent="0.35">
      <c r="B28" s="75" t="s">
        <v>51</v>
      </c>
      <c r="C28" s="90" t="str">
        <f>+C21</f>
        <v>ԱՄԻՍ 1</v>
      </c>
      <c r="D28" s="90" t="str">
        <f t="shared" ref="D28:N28" si="56">+D21</f>
        <v>ԱՄԻՍ 2</v>
      </c>
      <c r="E28" s="90" t="str">
        <f t="shared" si="56"/>
        <v>ԱՄԻՍ 3</v>
      </c>
      <c r="F28" s="90" t="str">
        <f t="shared" si="56"/>
        <v>ԱՄԻՍ 4</v>
      </c>
      <c r="G28" s="90" t="str">
        <f t="shared" si="56"/>
        <v>ԱՄԻՍ 5</v>
      </c>
      <c r="H28" s="90" t="str">
        <f t="shared" si="56"/>
        <v>ԱՄԻՍ 6</v>
      </c>
      <c r="I28" s="90" t="str">
        <f t="shared" si="56"/>
        <v>ԱՄԻՍ 7</v>
      </c>
      <c r="J28" s="90" t="str">
        <f t="shared" si="56"/>
        <v>ԱՄԻՍ 8</v>
      </c>
      <c r="K28" s="90" t="str">
        <f t="shared" si="56"/>
        <v>ԱՄԻՍ 9</v>
      </c>
      <c r="L28" s="90" t="str">
        <f t="shared" si="56"/>
        <v>ԱՄԻՍ 10</v>
      </c>
      <c r="M28" s="90" t="str">
        <f t="shared" si="56"/>
        <v>ԱՄԻՍ 11</v>
      </c>
      <c r="N28" s="90" t="str">
        <f t="shared" si="56"/>
        <v>ԱՄԻՍ 12</v>
      </c>
      <c r="O28" s="165" t="s">
        <v>44</v>
      </c>
    </row>
    <row r="29" spans="2:17" ht="32.25" customHeight="1" x14ac:dyDescent="0.35">
      <c r="B29" s="82" t="s">
        <v>45</v>
      </c>
      <c r="C29" s="66">
        <f>+N22-N24</f>
        <v>1070216277.5000027</v>
      </c>
      <c r="D29" s="67">
        <f t="shared" ref="D29" si="57">+C29-C31</f>
        <v>981031587.70833611</v>
      </c>
      <c r="E29" s="67">
        <f t="shared" ref="E29" si="58">+D29-D31</f>
        <v>891846897.91666949</v>
      </c>
      <c r="F29" s="67">
        <f t="shared" ref="F29" si="59">+E29-E31</f>
        <v>802662208.12500286</v>
      </c>
      <c r="G29" s="67">
        <f t="shared" ref="G29" si="60">+F29-F31</f>
        <v>713477518.33333623</v>
      </c>
      <c r="H29" s="67">
        <f t="shared" ref="H29" si="61">+G29-G31</f>
        <v>624292828.54166961</v>
      </c>
      <c r="I29" s="67">
        <f t="shared" ref="I29" si="62">+H29-H31</f>
        <v>535108138.75000292</v>
      </c>
      <c r="J29" s="67">
        <f t="shared" ref="J29" si="63">+I29-I31</f>
        <v>445923448.95833623</v>
      </c>
      <c r="K29" s="67">
        <f t="shared" ref="K29" si="64">+J29-J31</f>
        <v>356738759.16666955</v>
      </c>
      <c r="L29" s="67">
        <f t="shared" ref="L29" si="65">+K29-K31</f>
        <v>267554069.37500286</v>
      </c>
      <c r="M29" s="67">
        <f t="shared" ref="M29" si="66">+L29-L31</f>
        <v>178369379.58333617</v>
      </c>
      <c r="N29" s="67">
        <f t="shared" ref="N29" si="67">+M29-M31</f>
        <v>89184689.791669503</v>
      </c>
      <c r="O29" s="165"/>
    </row>
    <row r="30" spans="2:17" ht="30" customHeight="1" x14ac:dyDescent="0.35">
      <c r="B30" s="8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2:17" ht="22.2" customHeight="1" x14ac:dyDescent="0.35">
      <c r="B31" s="82" t="s">
        <v>46</v>
      </c>
      <c r="C31" s="20">
        <f>+C24</f>
        <v>89184689.791666672</v>
      </c>
      <c r="D31" s="20">
        <f>+C31</f>
        <v>89184689.791666672</v>
      </c>
      <c r="E31" s="20">
        <f t="shared" ref="E31" si="68">+D31</f>
        <v>89184689.791666672</v>
      </c>
      <c r="F31" s="20">
        <f t="shared" ref="F31" si="69">+E31</f>
        <v>89184689.791666672</v>
      </c>
      <c r="G31" s="20">
        <f t="shared" ref="G31" si="70">+F31</f>
        <v>89184689.791666672</v>
      </c>
      <c r="H31" s="20">
        <f t="shared" ref="H31" si="71">+G31</f>
        <v>89184689.791666672</v>
      </c>
      <c r="I31" s="20">
        <f t="shared" ref="I31" si="72">+H31</f>
        <v>89184689.791666672</v>
      </c>
      <c r="J31" s="20">
        <f t="shared" ref="J31" si="73">+I31</f>
        <v>89184689.791666672</v>
      </c>
      <c r="K31" s="20">
        <f t="shared" ref="K31" si="74">+J31</f>
        <v>89184689.791666672</v>
      </c>
      <c r="L31" s="20">
        <f t="shared" ref="L31" si="75">+K31</f>
        <v>89184689.791666672</v>
      </c>
      <c r="M31" s="20">
        <f t="shared" ref="M31" si="76">+L31</f>
        <v>89184689.791666672</v>
      </c>
      <c r="N31" s="20">
        <f t="shared" ref="N31" si="77">+M31</f>
        <v>89184689.791666672</v>
      </c>
      <c r="O31" s="69">
        <f t="shared" ref="O31:O33" si="78">SUM(C31:N31)</f>
        <v>1070216277.4999999</v>
      </c>
      <c r="Q31" s="44"/>
    </row>
    <row r="32" spans="2:17" ht="22.2" customHeight="1" x14ac:dyDescent="0.35">
      <c r="B32" s="82" t="s">
        <v>47</v>
      </c>
      <c r="C32" s="21">
        <f t="shared" ref="C32:N32" si="79">+C29*$N$4/12</f>
        <v>10702162.775000026</v>
      </c>
      <c r="D32" s="21">
        <f t="shared" si="79"/>
        <v>9810315.8770833611</v>
      </c>
      <c r="E32" s="21">
        <f t="shared" si="79"/>
        <v>8918468.979166694</v>
      </c>
      <c r="F32" s="21">
        <f t="shared" si="79"/>
        <v>8026622.0812500278</v>
      </c>
      <c r="G32" s="21">
        <f t="shared" si="79"/>
        <v>7134775.1833333625</v>
      </c>
      <c r="H32" s="21">
        <f t="shared" si="79"/>
        <v>6242928.2854166962</v>
      </c>
      <c r="I32" s="21">
        <f t="shared" si="79"/>
        <v>5351081.3875000291</v>
      </c>
      <c r="J32" s="21">
        <f t="shared" si="79"/>
        <v>4459234.4895833619</v>
      </c>
      <c r="K32" s="21">
        <f t="shared" si="79"/>
        <v>3567387.5916666952</v>
      </c>
      <c r="L32" s="21">
        <f t="shared" si="79"/>
        <v>2675540.6937500285</v>
      </c>
      <c r="M32" s="21">
        <f t="shared" si="79"/>
        <v>1783693.7958333616</v>
      </c>
      <c r="N32" s="21">
        <f t="shared" si="79"/>
        <v>891846.89791669499</v>
      </c>
      <c r="O32" s="69">
        <f t="shared" si="78"/>
        <v>69564058.037500337</v>
      </c>
    </row>
    <row r="33" spans="2:15" ht="32.25" customHeight="1" x14ac:dyDescent="0.35">
      <c r="B33" s="74" t="s">
        <v>48</v>
      </c>
      <c r="C33" s="68">
        <f>+C31+C32</f>
        <v>99886852.566666692</v>
      </c>
      <c r="D33" s="68">
        <f t="shared" ref="D33:N33" si="80">+D31+D32</f>
        <v>98995005.668750033</v>
      </c>
      <c r="E33" s="68">
        <f t="shared" si="80"/>
        <v>98103158.770833373</v>
      </c>
      <c r="F33" s="68">
        <f t="shared" si="80"/>
        <v>97211311.872916698</v>
      </c>
      <c r="G33" s="68">
        <f t="shared" si="80"/>
        <v>96319464.975000039</v>
      </c>
      <c r="H33" s="68">
        <f t="shared" si="80"/>
        <v>95427618.077083364</v>
      </c>
      <c r="I33" s="68">
        <f t="shared" si="80"/>
        <v>94535771.179166704</v>
      </c>
      <c r="J33" s="68">
        <f t="shared" si="80"/>
        <v>93643924.28125003</v>
      </c>
      <c r="K33" s="68">
        <f t="shared" si="80"/>
        <v>92752077.38333337</v>
      </c>
      <c r="L33" s="68">
        <f t="shared" si="80"/>
        <v>91860230.485416695</v>
      </c>
      <c r="M33" s="68">
        <f t="shared" si="80"/>
        <v>90968383.587500036</v>
      </c>
      <c r="N33" s="68">
        <f t="shared" si="80"/>
        <v>90076536.689583361</v>
      </c>
      <c r="O33" s="69">
        <f t="shared" si="78"/>
        <v>1139780335.5375001</v>
      </c>
    </row>
    <row r="34" spans="2:15" s="118" customFormat="1" ht="32.25" customHeight="1" x14ac:dyDescent="0.35">
      <c r="B34" s="119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2:15" s="118" customFormat="1" ht="47.4" customHeight="1" x14ac:dyDescent="0.35">
      <c r="B35" s="109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21"/>
    </row>
    <row r="36" spans="2:15" s="118" customFormat="1" ht="32.25" customHeight="1" x14ac:dyDescent="0.35">
      <c r="B36" s="119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2:15" s="118" customFormat="1" x14ac:dyDescent="0.35"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</row>
  </sheetData>
  <mergeCells count="6">
    <mergeCell ref="O28:O29"/>
    <mergeCell ref="B1:O1"/>
    <mergeCell ref="B2:O2"/>
    <mergeCell ref="O7:O8"/>
    <mergeCell ref="O14:O15"/>
    <mergeCell ref="O21:O22"/>
  </mergeCells>
  <phoneticPr fontId="9" type="noConversion"/>
  <conditionalFormatting sqref="C8:N8">
    <cfRule type="expression" dxfId="11" priority="25">
      <formula>C8&lt;Cash_Minimum</formula>
    </cfRule>
  </conditionalFormatting>
  <conditionalFormatting sqref="C15:N15">
    <cfRule type="expression" dxfId="10" priority="24">
      <formula>C15&lt;Cash_Minimum</formula>
    </cfRule>
  </conditionalFormatting>
  <conditionalFormatting sqref="C22:N22">
    <cfRule type="expression" dxfId="9" priority="13">
      <formula>C22&lt;Cash_Minimum</formula>
    </cfRule>
  </conditionalFormatting>
  <conditionalFormatting sqref="C29:N29">
    <cfRule type="expression" dxfId="8" priority="3">
      <formula>C29&lt;Cash_Minimum</formula>
    </cfRule>
  </conditionalFormatting>
  <conditionalFormatting sqref="C34:O34">
    <cfRule type="cellIs" dxfId="7" priority="8" operator="lessThan">
      <formula>0</formula>
    </cfRule>
  </conditionalFormatting>
  <conditionalFormatting sqref="O10:O13 C12:N12 O17:O20 C19:N19">
    <cfRule type="cellIs" dxfId="6" priority="26" operator="lessThan">
      <formula>0</formula>
    </cfRule>
  </conditionalFormatting>
  <conditionalFormatting sqref="O24:O26 C26:N26">
    <cfRule type="cellIs" dxfId="5" priority="23" operator="lessThan">
      <formula>0</formula>
    </cfRule>
  </conditionalFormatting>
  <conditionalFormatting sqref="O31:O33 C33:N33">
    <cfRule type="cellIs" dxfId="4" priority="4" operator="lessThan">
      <formula>0</formula>
    </cfRule>
  </conditionalFormatting>
  <conditionalFormatting sqref="O35:O36 C36:N36">
    <cfRule type="cellIs" dxfId="3" priority="6" operator="lessThan">
      <formula>0</formula>
    </cfRule>
  </conditionalFormatting>
  <dataValidations count="5">
    <dataValidation allowBlank="1" showInputMessage="1" showErrorMessage="1" prompt="Enter the cash receipts items for each month._x000a__x000a_For Returns and allowances, enter the values as positive numbers._x000a_" sqref="B7 B14 B21 B28" xr:uid="{00000000-0002-0000-0100-000000000000}"/>
    <dataValidation allowBlank="1" showInputMessage="1" showErrorMessage="1" prompt="Enter a minimum balance alert. The template will highlight if the cash balance is below the alert minimum value." sqref="J4 N4:N5" xr:uid="{00000000-0002-0000-0100-000001000000}"/>
    <dataValidation allowBlank="1" showInputMessage="1" showErrorMessage="1" prompt="Enter a starting date from when a one-year forecast schedule will begin" sqref="F4" xr:uid="{00000000-0002-0000-0100-000002000000}"/>
    <dataValidation allowBlank="1" showInputMessage="1" showErrorMessage="1" prompt="Enter the starting cash amount during the starting date" sqref="C4" xr:uid="{00000000-0002-0000-0100-000003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100-000004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5"/>
  <sheetViews>
    <sheetView showGridLines="0" topLeftCell="A17" zoomScale="52" zoomScaleNormal="85" workbookViewId="0">
      <selection activeCell="H38" sqref="H38"/>
    </sheetView>
  </sheetViews>
  <sheetFormatPr defaultColWidth="9" defaultRowHeight="22.2" customHeight="1" x14ac:dyDescent="0.35"/>
  <cols>
    <col min="1" max="1" width="1.81640625" style="2" customWidth="1"/>
    <col min="2" max="2" width="59.81640625" style="150" customWidth="1"/>
    <col min="3" max="8" width="38.90625" style="3" customWidth="1"/>
    <col min="9" max="9" width="1.81640625" style="2" customWidth="1"/>
    <col min="10" max="10" width="12.90625" style="2" bestFit="1" customWidth="1"/>
    <col min="11" max="16384" width="9" style="2"/>
  </cols>
  <sheetData>
    <row r="1" spans="1:10" s="7" customFormat="1" ht="46.2" x14ac:dyDescent="0.85">
      <c r="A1" s="2"/>
      <c r="B1" s="163" t="s">
        <v>0</v>
      </c>
      <c r="C1" s="163"/>
      <c r="D1" s="163"/>
      <c r="E1" s="163"/>
      <c r="F1" s="163"/>
      <c r="G1" s="163"/>
      <c r="H1" s="163"/>
    </row>
    <row r="2" spans="1:10" ht="46.2" x14ac:dyDescent="0.85">
      <c r="B2" s="164" t="s">
        <v>52</v>
      </c>
      <c r="C2" s="163"/>
      <c r="D2" s="163"/>
      <c r="E2" s="163"/>
      <c r="F2" s="163"/>
      <c r="G2" s="163"/>
      <c r="H2" s="163"/>
      <c r="I2" s="2" t="s">
        <v>2</v>
      </c>
    </row>
    <row r="3" spans="1:10" ht="21" customHeight="1" x14ac:dyDescent="0.35">
      <c r="B3" s="141" t="s">
        <v>3</v>
      </c>
      <c r="C3" s="82" t="s">
        <v>4</v>
      </c>
      <c r="D3" s="29"/>
      <c r="E3" s="29"/>
      <c r="F3" s="29"/>
      <c r="G3" s="29"/>
      <c r="H3" s="29"/>
    </row>
    <row r="4" spans="1:10" ht="32.25" customHeight="1" x14ac:dyDescent="0.35">
      <c r="B4" s="142" t="s">
        <v>53</v>
      </c>
      <c r="C4" s="30">
        <v>10000</v>
      </c>
      <c r="D4" s="29"/>
      <c r="E4" s="31"/>
      <c r="F4" s="31"/>
      <c r="G4" s="31"/>
      <c r="H4" s="32"/>
    </row>
    <row r="5" spans="1:10" ht="32.25" customHeight="1" x14ac:dyDescent="0.35">
      <c r="B5" s="33"/>
      <c r="C5" s="33"/>
      <c r="D5" s="33"/>
      <c r="E5" s="33"/>
      <c r="F5" s="33"/>
      <c r="G5" s="33"/>
      <c r="H5" s="34"/>
    </row>
    <row r="6" spans="1:10" ht="22.2" customHeight="1" x14ac:dyDescent="0.35">
      <c r="A6" s="1"/>
      <c r="B6" s="31"/>
      <c r="C6" s="35"/>
      <c r="D6" s="35"/>
      <c r="E6" s="35"/>
      <c r="F6" s="35"/>
      <c r="G6" s="35"/>
      <c r="H6" s="35"/>
    </row>
    <row r="7" spans="1:10" s="4" customFormat="1" ht="32.25" customHeight="1" x14ac:dyDescent="0.35">
      <c r="B7" s="31"/>
      <c r="C7" s="94" t="s">
        <v>31</v>
      </c>
      <c r="D7" s="95" t="s">
        <v>49</v>
      </c>
      <c r="E7" s="95" t="s">
        <v>50</v>
      </c>
      <c r="F7" s="95" t="s">
        <v>51</v>
      </c>
      <c r="G7" s="95" t="s">
        <v>54</v>
      </c>
      <c r="H7" s="166" t="s">
        <v>55</v>
      </c>
    </row>
    <row r="8" spans="1:10" ht="32.25" customHeight="1" x14ac:dyDescent="0.35">
      <c r="B8" s="143" t="s">
        <v>56</v>
      </c>
      <c r="C8" s="46">
        <f>C4</f>
        <v>10000</v>
      </c>
      <c r="D8" s="47">
        <f>C42</f>
        <v>4168153998.6076045</v>
      </c>
      <c r="E8" s="47">
        <f>D42</f>
        <v>3278860494.0240421</v>
      </c>
      <c r="F8" s="47">
        <f>E42</f>
        <v>1914786678.9125838</v>
      </c>
      <c r="G8" s="47">
        <f>F42</f>
        <v>838773396.57612562</v>
      </c>
      <c r="H8" s="166"/>
    </row>
    <row r="9" spans="1:10" ht="30" customHeight="1" x14ac:dyDescent="0.35">
      <c r="B9" s="31"/>
      <c r="C9" s="36"/>
      <c r="D9" s="36"/>
      <c r="E9" s="36"/>
      <c r="F9" s="36"/>
      <c r="G9" s="36"/>
      <c r="H9" s="36"/>
    </row>
    <row r="10" spans="1:10" ht="22.2" customHeight="1" x14ac:dyDescent="0.35">
      <c r="B10" s="144" t="s">
        <v>57</v>
      </c>
      <c r="C10" s="37"/>
      <c r="D10" s="37"/>
      <c r="E10" s="37"/>
      <c r="F10" s="37"/>
      <c r="G10" s="37"/>
      <c r="H10" s="37"/>
    </row>
    <row r="11" spans="1:10" ht="19.95" customHeight="1" x14ac:dyDescent="0.35">
      <c r="B11" s="31"/>
      <c r="C11" s="36"/>
      <c r="D11" s="36"/>
      <c r="E11" s="36"/>
      <c r="F11" s="129"/>
      <c r="G11" s="129"/>
      <c r="H11" s="36"/>
    </row>
    <row r="12" spans="1:10" ht="22.2" customHeight="1" x14ac:dyDescent="0.35">
      <c r="B12" s="141" t="str">
        <f>+Investment!B8</f>
        <v>Բնակելի տարածք՝ վաճառք</v>
      </c>
      <c r="C12" s="38">
        <f>+Investment!$I$8*0.5</f>
        <v>2449825000</v>
      </c>
      <c r="D12" s="38">
        <f>+Investment!$I$8*0.3</f>
        <v>1469895000</v>
      </c>
      <c r="E12" s="128">
        <f>+Investment!$I$8*0.2</f>
        <v>979930000</v>
      </c>
      <c r="F12" s="129"/>
      <c r="G12" s="129"/>
      <c r="H12" s="48">
        <f>SUM(C12:G12)</f>
        <v>4899650000</v>
      </c>
    </row>
    <row r="13" spans="1:10" ht="22.2" customHeight="1" x14ac:dyDescent="0.35">
      <c r="B13" s="141" t="str">
        <f>+Investment!B9</f>
        <v>Ավտոկայանատեղեր՝ վաճառք</v>
      </c>
      <c r="C13" s="39">
        <f>+Investment!$I$9*0.5</f>
        <v>424000000</v>
      </c>
      <c r="D13" s="39">
        <f>+Investment!$I$9*0.3</f>
        <v>254400000</v>
      </c>
      <c r="E13" s="132">
        <f>+Investment!$I$9*0.2</f>
        <v>169600000</v>
      </c>
      <c r="F13" s="136"/>
      <c r="G13" s="136"/>
      <c r="H13" s="48">
        <f t="shared" ref="H13:H14" si="0">SUM(C13:G13)</f>
        <v>848000000</v>
      </c>
    </row>
    <row r="14" spans="1:10" ht="22.2" customHeight="1" x14ac:dyDescent="0.35">
      <c r="B14" s="141"/>
      <c r="C14" s="38"/>
      <c r="D14" s="38"/>
      <c r="E14" s="128"/>
      <c r="F14" s="129"/>
      <c r="G14" s="129"/>
      <c r="H14" s="48">
        <f t="shared" si="0"/>
        <v>0</v>
      </c>
      <c r="J14" s="44"/>
    </row>
    <row r="15" spans="1:10" ht="22.2" customHeight="1" x14ac:dyDescent="0.35">
      <c r="B15" s="145" t="s">
        <v>58</v>
      </c>
      <c r="C15" s="39">
        <f>+Credit!C4</f>
        <v>4280865110</v>
      </c>
      <c r="D15" s="39"/>
      <c r="E15" s="132"/>
      <c r="F15" s="136"/>
      <c r="G15" s="136"/>
      <c r="H15" s="48">
        <f>SUM(C15:G15)</f>
        <v>4280865110</v>
      </c>
    </row>
    <row r="16" spans="1:10" ht="22.2" customHeight="1" x14ac:dyDescent="0.35">
      <c r="B16" s="145" t="s">
        <v>59</v>
      </c>
      <c r="C16" s="40">
        <f>AVERAGE(Credit!$C8:$N8)*Credit!$N$5</f>
        <v>416938424.77604181</v>
      </c>
      <c r="D16" s="40">
        <f>AVERAGE(Credit!$C15:$N15)*Credit!$N$5</f>
        <v>299214634.25104201</v>
      </c>
      <c r="E16" s="139">
        <f>AVERAGE(Credit!$C22:$N22)*Credit!$N$5</f>
        <v>181490843.72604197</v>
      </c>
      <c r="F16" s="140">
        <f>AVERAGE(Credit!$C29:$N29)*Credit!$N$5</f>
        <v>63767053.201041989</v>
      </c>
      <c r="G16" s="140"/>
      <c r="H16" s="48">
        <f>SUM(C16:G16)</f>
        <v>961410955.95416784</v>
      </c>
    </row>
    <row r="17" spans="2:10" ht="32.25" customHeight="1" x14ac:dyDescent="0.35">
      <c r="B17" s="146" t="s">
        <v>60</v>
      </c>
      <c r="C17" s="52">
        <f>SUM(C12:C16)</f>
        <v>7571628534.776042</v>
      </c>
      <c r="D17" s="133">
        <f t="shared" ref="D17:G17" si="1">SUM(D12:D16)</f>
        <v>2023509634.2510419</v>
      </c>
      <c r="E17" s="137">
        <f t="shared" si="1"/>
        <v>1331020843.726042</v>
      </c>
      <c r="F17" s="137">
        <f t="shared" si="1"/>
        <v>63767053.201041989</v>
      </c>
      <c r="G17" s="137">
        <f t="shared" si="1"/>
        <v>0</v>
      </c>
      <c r="H17" s="135">
        <f>SUM(H12:H16)</f>
        <v>10989926065.954168</v>
      </c>
      <c r="J17" s="44"/>
    </row>
    <row r="18" spans="2:10" ht="32.25" customHeight="1" x14ac:dyDescent="0.35">
      <c r="B18" s="147"/>
      <c r="C18" s="53"/>
      <c r="D18" s="127"/>
      <c r="E18" s="53"/>
      <c r="F18" s="127"/>
      <c r="G18" s="53"/>
      <c r="H18" s="127"/>
    </row>
    <row r="19" spans="2:10" ht="30" customHeight="1" x14ac:dyDescent="0.35">
      <c r="B19" s="31"/>
      <c r="C19" s="36"/>
      <c r="D19" s="36"/>
      <c r="E19" s="36"/>
      <c r="F19" s="36"/>
      <c r="G19" s="36"/>
      <c r="H19" s="36"/>
    </row>
    <row r="20" spans="2:10" ht="22.2" customHeight="1" x14ac:dyDescent="0.35">
      <c r="B20" s="144" t="s">
        <v>61</v>
      </c>
      <c r="C20" s="41"/>
      <c r="D20" s="41"/>
      <c r="E20" s="41"/>
      <c r="F20" s="41"/>
      <c r="G20" s="41"/>
      <c r="H20" s="41"/>
    </row>
    <row r="21" spans="2:10" ht="19.95" customHeight="1" x14ac:dyDescent="0.35">
      <c r="B21" s="31"/>
      <c r="C21" s="36"/>
      <c r="D21" s="36"/>
      <c r="E21" s="36"/>
      <c r="F21" s="129"/>
      <c r="G21" s="129"/>
      <c r="H21" s="36"/>
    </row>
    <row r="22" spans="2:10" ht="22.2" customHeight="1" x14ac:dyDescent="0.35">
      <c r="B22" s="31"/>
      <c r="C22" s="38">
        <f>+Investment!H12</f>
        <v>0</v>
      </c>
      <c r="D22" s="38"/>
      <c r="E22" s="128"/>
      <c r="F22" s="129"/>
      <c r="G22" s="129"/>
      <c r="H22" s="48">
        <f t="shared" ref="H22" si="2">SUM(C22:E22)</f>
        <v>0</v>
      </c>
    </row>
    <row r="23" spans="2:10" ht="22.2" customHeight="1" x14ac:dyDescent="0.35">
      <c r="B23" s="141" t="str">
        <f>+Investment!B13</f>
        <v>Շին․ թույլտվություն - հասարակական տարածքներ</v>
      </c>
      <c r="C23" s="39">
        <f>+Investment!H13</f>
        <v>200000</v>
      </c>
      <c r="D23" s="39"/>
      <c r="E23" s="132"/>
      <c r="F23" s="136"/>
      <c r="G23" s="136"/>
      <c r="H23" s="49">
        <f>SUM(C23:G23)</f>
        <v>200000</v>
      </c>
    </row>
    <row r="24" spans="2:10" ht="22.2" customHeight="1" x14ac:dyDescent="0.35">
      <c r="B24" s="141" t="str">
        <f>+Investment!B14</f>
        <v>Շինարարության ծախսեր</v>
      </c>
      <c r="C24" s="167">
        <f>+Investment!H14/3</f>
        <v>1398910166.6666667</v>
      </c>
      <c r="D24" s="38">
        <f>+C24</f>
        <v>1398910166.6666667</v>
      </c>
      <c r="E24" s="38">
        <f>+D24</f>
        <v>1398910166.6666667</v>
      </c>
      <c r="F24" s="129"/>
      <c r="G24" s="129"/>
      <c r="H24" s="49">
        <f t="shared" ref="H24:H36" si="3">SUM(C24:G24)</f>
        <v>4196730500</v>
      </c>
    </row>
    <row r="25" spans="2:10" ht="22.2" customHeight="1" x14ac:dyDescent="0.35">
      <c r="B25" s="141" t="str">
        <f>+Investment!B15</f>
        <v xml:space="preserve">Նախագիծ </v>
      </c>
      <c r="C25" s="159">
        <f>+Investment!H15</f>
        <v>0</v>
      </c>
      <c r="D25" s="39"/>
      <c r="E25" s="132">
        <f t="shared" ref="E25" si="4">+D25</f>
        <v>0</v>
      </c>
      <c r="F25" s="136"/>
      <c r="G25" s="136"/>
      <c r="H25" s="49">
        <f t="shared" si="3"/>
        <v>0</v>
      </c>
    </row>
    <row r="26" spans="2:10" ht="22.2" customHeight="1" x14ac:dyDescent="0.35">
      <c r="B26" s="141" t="str">
        <f>+Investment!B16</f>
        <v>Այլ ծախսեր (մարքեթինգ, վարչական, չնախատեսված, այլն)</v>
      </c>
      <c r="C26" s="167">
        <f>+C24*0.02</f>
        <v>27978203.333333336</v>
      </c>
      <c r="D26" s="38">
        <f>+C26</f>
        <v>27978203.333333336</v>
      </c>
      <c r="E26" s="128">
        <f>+D26</f>
        <v>27978203.333333336</v>
      </c>
      <c r="F26" s="129"/>
      <c r="G26" s="129"/>
      <c r="H26" s="49">
        <f t="shared" si="3"/>
        <v>83934610</v>
      </c>
    </row>
    <row r="27" spans="2:10" ht="22.2" customHeight="1" x14ac:dyDescent="0.35">
      <c r="B27" s="141"/>
      <c r="C27" s="39"/>
      <c r="D27" s="39"/>
      <c r="E27" s="132"/>
      <c r="F27" s="136"/>
      <c r="G27" s="136"/>
      <c r="H27" s="49">
        <f t="shared" si="3"/>
        <v>0</v>
      </c>
    </row>
    <row r="28" spans="2:10" ht="22.2" customHeight="1" x14ac:dyDescent="0.35">
      <c r="B28" s="141" t="s">
        <v>62</v>
      </c>
      <c r="C28" s="38">
        <f>+(SUM(C12:C13)/6)-(+SUM(C24:C26)/6)</f>
        <v>241156104.99999997</v>
      </c>
      <c r="D28" s="38">
        <f t="shared" ref="D28" si="5">+(SUM(D12:D13)/6)-(+SUM(D24:D26)/6)</f>
        <v>49567771.666666657</v>
      </c>
      <c r="E28" s="38"/>
      <c r="F28" s="129">
        <f>+(SUM(F12:F13)/6)-(+SUM(F24:F26)/6)</f>
        <v>0</v>
      </c>
      <c r="G28" s="129">
        <f>+(SUM(G12:G13)/6)-(+SUM(G24:G26)/6)</f>
        <v>0</v>
      </c>
      <c r="H28" s="49">
        <f t="shared" si="3"/>
        <v>290723876.66666663</v>
      </c>
    </row>
    <row r="29" spans="2:10" ht="22.2" customHeight="1" x14ac:dyDescent="0.35">
      <c r="B29" s="141" t="s">
        <v>63</v>
      </c>
      <c r="C29" s="39">
        <f>+'Income Statement'!C26</f>
        <v>210181865.73093754</v>
      </c>
      <c r="D29" s="39">
        <f>+'Income Statement'!D26</f>
        <v>39714755.030437469</v>
      </c>
      <c r="E29" s="132">
        <f>+'Income Statement'!E26</f>
        <v>0</v>
      </c>
      <c r="F29" s="136"/>
      <c r="G29" s="136">
        <f>+'Income Statement'!G26</f>
        <v>0</v>
      </c>
      <c r="H29" s="49">
        <f t="shared" si="3"/>
        <v>249896620.76137501</v>
      </c>
    </row>
    <row r="30" spans="2:10" ht="22.2" customHeight="1" x14ac:dyDescent="0.35">
      <c r="B30" s="141"/>
      <c r="C30" s="138"/>
      <c r="D30" s="138"/>
      <c r="E30" s="138"/>
      <c r="F30" s="138"/>
      <c r="G30" s="138"/>
      <c r="H30" s="49">
        <f t="shared" si="3"/>
        <v>0</v>
      </c>
    </row>
    <row r="31" spans="2:10" ht="22.2" customHeight="1" x14ac:dyDescent="0.35">
      <c r="B31" s="141" t="s">
        <v>64</v>
      </c>
      <c r="C31" s="39">
        <f>+Credit!O11</f>
        <v>454841917.93750012</v>
      </c>
      <c r="D31" s="39">
        <f>+Credit!O18</f>
        <v>326415964.63750029</v>
      </c>
      <c r="E31" s="132">
        <f>+Credit!O25</f>
        <v>197990011.33750033</v>
      </c>
      <c r="F31" s="136">
        <f>+Credit!O32</f>
        <v>69564058.037500337</v>
      </c>
      <c r="G31" s="136"/>
      <c r="H31" s="49">
        <f t="shared" si="3"/>
        <v>1048811951.9500011</v>
      </c>
    </row>
    <row r="32" spans="2:10" ht="22.2" customHeight="1" x14ac:dyDescent="0.35">
      <c r="B32" s="31"/>
      <c r="C32" s="38"/>
      <c r="D32" s="38"/>
      <c r="E32" s="128"/>
      <c r="F32" s="129"/>
      <c r="G32" s="129"/>
      <c r="H32" s="49">
        <f t="shared" si="3"/>
        <v>0</v>
      </c>
    </row>
    <row r="33" spans="2:8" ht="22.2" customHeight="1" x14ac:dyDescent="0.35">
      <c r="B33" s="31"/>
      <c r="C33" s="39"/>
      <c r="D33" s="39"/>
      <c r="E33" s="132"/>
      <c r="F33" s="136"/>
      <c r="G33" s="136"/>
      <c r="H33" s="49">
        <f t="shared" si="3"/>
        <v>0</v>
      </c>
    </row>
    <row r="34" spans="2:8" ht="22.2" customHeight="1" x14ac:dyDescent="0.35">
      <c r="B34" s="31"/>
      <c r="C34" s="39"/>
      <c r="D34" s="39"/>
      <c r="E34" s="132"/>
      <c r="F34" s="136"/>
      <c r="G34" s="136"/>
      <c r="H34" s="49">
        <f t="shared" si="3"/>
        <v>0</v>
      </c>
    </row>
    <row r="35" spans="2:8" ht="22.2" customHeight="1" x14ac:dyDescent="0.35">
      <c r="B35" s="31"/>
      <c r="C35" s="38"/>
      <c r="D35" s="38"/>
      <c r="E35" s="128"/>
      <c r="F35" s="129"/>
      <c r="G35" s="129"/>
      <c r="H35" s="49">
        <f t="shared" si="3"/>
        <v>0</v>
      </c>
    </row>
    <row r="36" spans="2:8" ht="30" customHeight="1" x14ac:dyDescent="0.35">
      <c r="B36" s="148" t="s">
        <v>65</v>
      </c>
      <c r="C36" s="60">
        <f>SUM(C22:C35)</f>
        <v>2333268258.6684375</v>
      </c>
      <c r="D36" s="60">
        <f t="shared" ref="D36:E36" si="6">SUM(D22:D35)</f>
        <v>1842586861.3346045</v>
      </c>
      <c r="E36" s="60">
        <f t="shared" si="6"/>
        <v>1624878381.3375003</v>
      </c>
      <c r="F36" s="60">
        <f>SUM(F22:F35)</f>
        <v>69564058.037500337</v>
      </c>
      <c r="G36" s="60">
        <f>SUM(G22:G35)</f>
        <v>0</v>
      </c>
      <c r="H36" s="49">
        <f t="shared" si="3"/>
        <v>5870297559.3780432</v>
      </c>
    </row>
    <row r="37" spans="2:8" ht="19.95" customHeight="1" x14ac:dyDescent="0.35">
      <c r="B37" s="31"/>
      <c r="C37" s="36"/>
      <c r="D37" s="36"/>
      <c r="E37" s="36"/>
      <c r="F37" s="129"/>
      <c r="G37" s="129"/>
      <c r="H37" s="36"/>
    </row>
    <row r="38" spans="2:8" ht="22.2" customHeight="1" x14ac:dyDescent="0.35">
      <c r="B38" s="149" t="s">
        <v>66</v>
      </c>
      <c r="C38" s="42">
        <f>+Credit!$O10</f>
        <v>1070216277.4999999</v>
      </c>
      <c r="D38" s="42">
        <f>+Credit!$O17</f>
        <v>1070216277.4999999</v>
      </c>
      <c r="E38" s="134">
        <f>+Credit!$O24</f>
        <v>1070216277.4999999</v>
      </c>
      <c r="F38" s="129">
        <f>+Credit!O31</f>
        <v>1070216277.4999999</v>
      </c>
      <c r="G38" s="129"/>
      <c r="H38" s="55">
        <f>SUM(C38:G38)</f>
        <v>4280865109.9999995</v>
      </c>
    </row>
    <row r="39" spans="2:8" ht="22.2" customHeight="1" x14ac:dyDescent="0.35">
      <c r="B39" s="31"/>
      <c r="C39" s="39"/>
      <c r="D39" s="39"/>
      <c r="E39" s="132"/>
      <c r="F39" s="136"/>
      <c r="G39" s="136"/>
      <c r="H39" s="49">
        <f>SUM(C39:E39)</f>
        <v>0</v>
      </c>
    </row>
    <row r="40" spans="2:8" ht="22.2" customHeight="1" x14ac:dyDescent="0.35">
      <c r="B40" s="31"/>
      <c r="C40" s="43"/>
      <c r="D40" s="38"/>
      <c r="E40" s="128"/>
      <c r="F40" s="129"/>
      <c r="G40" s="129"/>
      <c r="H40" s="56">
        <f>SUM(C40:E40)</f>
        <v>0</v>
      </c>
    </row>
    <row r="41" spans="2:8" ht="30" customHeight="1" x14ac:dyDescent="0.35">
      <c r="B41" s="146" t="s">
        <v>67</v>
      </c>
      <c r="C41" s="58">
        <f>+C36+C38</f>
        <v>3403484536.1684375</v>
      </c>
      <c r="D41" s="58">
        <f>+D36+D38</f>
        <v>2912803138.8346043</v>
      </c>
      <c r="E41" s="58">
        <f>+E36+E38</f>
        <v>2695094658.8375001</v>
      </c>
      <c r="F41" s="58">
        <f>+F36+F38</f>
        <v>1139780335.5375001</v>
      </c>
      <c r="G41" s="58">
        <f>+G36+G38</f>
        <v>0</v>
      </c>
      <c r="H41" s="57">
        <f>SUM(H36:H40)</f>
        <v>10151162669.378042</v>
      </c>
    </row>
    <row r="42" spans="2:8" ht="30" customHeight="1" x14ac:dyDescent="0.35">
      <c r="B42" s="146" t="s">
        <v>68</v>
      </c>
      <c r="C42" s="59">
        <f t="shared" ref="C42:H42" si="7">+C8+C17-C41</f>
        <v>4168153998.6076045</v>
      </c>
      <c r="D42" s="59">
        <f t="shared" si="7"/>
        <v>3278860494.0240421</v>
      </c>
      <c r="E42" s="59">
        <f t="shared" si="7"/>
        <v>1914786678.9125838</v>
      </c>
      <c r="F42" s="59">
        <f t="shared" si="7"/>
        <v>838773396.57612562</v>
      </c>
      <c r="G42" s="59">
        <f t="shared" si="7"/>
        <v>838773396.57612562</v>
      </c>
      <c r="H42" s="59">
        <f t="shared" si="7"/>
        <v>838763396.5761261</v>
      </c>
    </row>
    <row r="43" spans="2:8" ht="30" customHeight="1" x14ac:dyDescent="0.35">
      <c r="B43" s="153" t="s">
        <v>69</v>
      </c>
      <c r="C43" s="152">
        <f>+C17-C41</f>
        <v>4168143998.6076045</v>
      </c>
      <c r="D43" s="152">
        <f t="shared" ref="D43:G43" si="8">+D17-D41</f>
        <v>-889293504.58356237</v>
      </c>
      <c r="E43" s="152">
        <f t="shared" si="8"/>
        <v>-1364073815.1114581</v>
      </c>
      <c r="F43" s="152">
        <f t="shared" si="8"/>
        <v>-1076013282.3364582</v>
      </c>
      <c r="G43" s="152">
        <f t="shared" si="8"/>
        <v>0</v>
      </c>
      <c r="H43" s="152">
        <f>+C43+D43+E43+F43</f>
        <v>838763396.57612586</v>
      </c>
    </row>
    <row r="44" spans="2:8" ht="22.2" customHeight="1" x14ac:dyDescent="0.35">
      <c r="B44" s="151"/>
      <c r="C44" s="19"/>
      <c r="D44" s="19"/>
      <c r="E44" s="19"/>
      <c r="F44" s="19"/>
      <c r="G44" s="19"/>
      <c r="H44" s="19"/>
    </row>
    <row r="45" spans="2:8" ht="19.95" customHeight="1" x14ac:dyDescent="0.35">
      <c r="C45" s="18"/>
      <c r="D45" s="18"/>
      <c r="E45" s="18"/>
      <c r="F45" s="18"/>
      <c r="G45" s="18"/>
      <c r="H45" s="18"/>
    </row>
  </sheetData>
  <mergeCells count="3">
    <mergeCell ref="H7:H8"/>
    <mergeCell ref="B1:H1"/>
    <mergeCell ref="B2:H2"/>
  </mergeCells>
  <phoneticPr fontId="9" type="noConversion"/>
  <conditionalFormatting sqref="C8:G8">
    <cfRule type="expression" dxfId="2" priority="1">
      <formula>C8&lt;Cash_Minimum</formula>
    </cfRule>
  </conditionalFormatting>
  <conditionalFormatting sqref="H12:H17 C17:G17 C18:H18 H22:H36 C36:G36 H38:H42 C41:G42">
    <cfRule type="cellIs" dxfId="1" priority="2" operator="lessThan">
      <formula>0</formula>
    </cfRule>
  </conditionalFormatting>
  <dataValidations count="6">
    <dataValidation allowBlank="1" showInputMessage="1" showErrorMessage="1" prompt="Enter insurance expense such as liability and fire insurance" sqref="F24:G24" xr:uid="{00000000-0002-0000-0200-000000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200-000001000000}"/>
    <dataValidation allowBlank="1" showInputMessage="1" showErrorMessage="1" prompt="Enter the starting cash amount during the starting date" sqref="C4" xr:uid="{00000000-0002-0000-0200-000002000000}"/>
    <dataValidation allowBlank="1" showInputMessage="1" showErrorMessage="1" prompt="Enter the cash receipts items for each month._x000a__x000a_For Returns and allowances, enter the values as positive numbers._x000a_" sqref="B10" xr:uid="{00000000-0002-0000-0200-000003000000}"/>
    <dataValidation allowBlank="1" showInputMessage="1" showErrorMessage="1" prompt="Enter the cash paid out items for each month_x000a_" sqref="B20" xr:uid="{00000000-0002-0000-0200-000004000000}"/>
    <dataValidation allowBlank="1" showInputMessage="1" showErrorMessage="1" prompt="Enter other operating values that you want to track across each month" sqref="B44" xr:uid="{00000000-0002-0000-0200-000005000000}"/>
  </dataValidations>
  <printOptions horizontalCentered="1"/>
  <pageMargins left="0.3" right="0.3" top="0.5" bottom="0.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showGridLines="0" zoomScale="52" zoomScaleNormal="85" workbookViewId="0">
      <selection activeCell="H11" sqref="H11"/>
    </sheetView>
  </sheetViews>
  <sheetFormatPr defaultColWidth="9" defaultRowHeight="22.2" customHeight="1" x14ac:dyDescent="0.35"/>
  <cols>
    <col min="1" max="1" width="1.81640625" style="2" customWidth="1"/>
    <col min="2" max="2" width="56.453125" style="8" customWidth="1"/>
    <col min="3" max="8" width="38.90625" style="3" customWidth="1"/>
    <col min="9" max="9" width="1.81640625" style="2" customWidth="1"/>
    <col min="10" max="10" width="12.453125" style="2" bestFit="1" customWidth="1"/>
    <col min="11" max="16384" width="9" style="2"/>
  </cols>
  <sheetData>
    <row r="1" spans="1:10" s="7" customFormat="1" ht="46.2" x14ac:dyDescent="0.85">
      <c r="A1" s="2"/>
      <c r="B1" s="163" t="s">
        <v>0</v>
      </c>
      <c r="C1" s="163"/>
      <c r="D1" s="163"/>
      <c r="E1" s="163"/>
      <c r="F1" s="163"/>
      <c r="G1" s="163"/>
      <c r="H1" s="163"/>
    </row>
    <row r="2" spans="1:10" ht="46.2" x14ac:dyDescent="0.85">
      <c r="B2" s="164" t="s">
        <v>70</v>
      </c>
      <c r="C2" s="163"/>
      <c r="D2" s="163"/>
      <c r="E2" s="163"/>
      <c r="F2" s="163"/>
      <c r="G2" s="163"/>
      <c r="H2" s="163"/>
      <c r="I2" s="2" t="s">
        <v>2</v>
      </c>
    </row>
    <row r="3" spans="1:10" ht="21" customHeight="1" x14ac:dyDescent="0.35">
      <c r="B3" s="28"/>
      <c r="C3" s="29"/>
      <c r="D3" s="29"/>
      <c r="E3" s="29"/>
      <c r="F3" s="29"/>
      <c r="G3" s="29"/>
      <c r="H3" s="29"/>
    </row>
    <row r="4" spans="1:10" ht="30" customHeight="1" x14ac:dyDescent="0.35">
      <c r="B4" s="82" t="s">
        <v>3</v>
      </c>
      <c r="C4" s="82" t="s">
        <v>4</v>
      </c>
      <c r="D4" s="36"/>
      <c r="E4" s="36"/>
      <c r="F4" s="36"/>
      <c r="G4" s="36"/>
      <c r="H4" s="36"/>
    </row>
    <row r="5" spans="1:10" ht="22.2" customHeight="1" x14ac:dyDescent="0.35">
      <c r="B5" s="93" t="s">
        <v>71</v>
      </c>
      <c r="C5" s="94" t="s">
        <v>31</v>
      </c>
      <c r="D5" s="95" t="s">
        <v>49</v>
      </c>
      <c r="E5" s="95" t="s">
        <v>50</v>
      </c>
      <c r="F5" s="95" t="s">
        <v>51</v>
      </c>
      <c r="G5" s="95" t="s">
        <v>54</v>
      </c>
      <c r="H5" s="37"/>
    </row>
    <row r="6" spans="1:10" ht="19.95" customHeight="1" x14ac:dyDescent="0.35">
      <c r="B6" s="98"/>
      <c r="C6" s="36"/>
      <c r="D6" s="36"/>
      <c r="E6" s="36"/>
      <c r="F6" s="36"/>
      <c r="G6" s="36"/>
      <c r="H6" s="36"/>
    </row>
    <row r="7" spans="1:10" ht="22.2" customHeight="1" x14ac:dyDescent="0.35">
      <c r="B7" s="97" t="str">
        <f>+Investment!B8</f>
        <v>Բնակելի տարածք՝ վաճառք</v>
      </c>
      <c r="C7" s="38">
        <f>+'Cash flow'!$C12/6*5</f>
        <v>2041520833.3333335</v>
      </c>
      <c r="D7" s="38">
        <f>+'Cash flow'!D12/6*5</f>
        <v>1224912500</v>
      </c>
      <c r="E7" s="128">
        <f>+'Cash flow'!E12/6*5</f>
        <v>816608333.33333325</v>
      </c>
      <c r="F7" s="129"/>
      <c r="G7" s="129"/>
      <c r="H7" s="48">
        <f>SUM(C7:G7)</f>
        <v>4083041666.666667</v>
      </c>
    </row>
    <row r="8" spans="1:10" ht="22.2" customHeight="1" x14ac:dyDescent="0.35">
      <c r="B8" s="97" t="str">
        <f>+Investment!B9</f>
        <v>Ավտոկայանատեղեր՝ վաճառք</v>
      </c>
      <c r="C8" s="38">
        <f>+'Cash flow'!$C13/6*5</f>
        <v>353333333.33333337</v>
      </c>
      <c r="D8" s="38">
        <f>+'Cash flow'!$D13/6*5</f>
        <v>212000000</v>
      </c>
      <c r="E8" s="128">
        <f>+'Cash flow'!$E13/6*5</f>
        <v>141333333.33333334</v>
      </c>
      <c r="F8" s="129"/>
      <c r="G8" s="129"/>
      <c r="H8" s="48">
        <f t="shared" ref="H8" si="0">SUM(C8:G8)</f>
        <v>706666666.66666675</v>
      </c>
    </row>
    <row r="9" spans="1:10" ht="22.2" customHeight="1" x14ac:dyDescent="0.35">
      <c r="B9" s="98"/>
      <c r="C9" s="38"/>
      <c r="D9" s="38"/>
      <c r="E9" s="128"/>
      <c r="F9" s="129"/>
      <c r="G9" s="129"/>
      <c r="H9" s="49">
        <f t="shared" ref="H9:H10" si="1">SUM(C9:E9)</f>
        <v>0</v>
      </c>
    </row>
    <row r="10" spans="1:10" ht="22.2" customHeight="1" x14ac:dyDescent="0.35">
      <c r="B10" s="98" t="s">
        <v>72</v>
      </c>
      <c r="C10" s="40">
        <f>+'Cash flow'!C16</f>
        <v>416938424.77604181</v>
      </c>
      <c r="D10" s="40">
        <f>+'Cash flow'!D16</f>
        <v>299214634.25104201</v>
      </c>
      <c r="E10" s="40">
        <f>+'Cash flow'!E16</f>
        <v>181490843.72604197</v>
      </c>
      <c r="F10" s="40">
        <f>+'Cash flow'!F16</f>
        <v>63767053.201041989</v>
      </c>
      <c r="G10" s="40">
        <f>+'Cash flow'!G16</f>
        <v>0</v>
      </c>
      <c r="H10" s="49">
        <f t="shared" si="1"/>
        <v>897643902.75312591</v>
      </c>
    </row>
    <row r="11" spans="1:10" ht="32.25" customHeight="1" x14ac:dyDescent="0.35">
      <c r="B11" s="96" t="s">
        <v>73</v>
      </c>
      <c r="C11" s="52">
        <f>SUM(C7:C10)</f>
        <v>2811792591.442709</v>
      </c>
      <c r="D11" s="52">
        <f t="shared" ref="D11:G11" si="2">SUM(D7:D10)</f>
        <v>1736127134.2510419</v>
      </c>
      <c r="E11" s="52">
        <f t="shared" si="2"/>
        <v>1139432510.3927085</v>
      </c>
      <c r="F11" s="52">
        <f t="shared" si="2"/>
        <v>63767053.201041989</v>
      </c>
      <c r="G11" s="52">
        <f t="shared" si="2"/>
        <v>0</v>
      </c>
      <c r="H11" s="50">
        <f>SUM(H7:H10)</f>
        <v>5687352236.0864601</v>
      </c>
      <c r="J11" s="44"/>
    </row>
    <row r="12" spans="1:10" ht="32.25" customHeight="1" x14ac:dyDescent="0.35">
      <c r="B12" s="99"/>
      <c r="C12" s="53"/>
      <c r="D12" s="54"/>
      <c r="E12" s="54"/>
      <c r="F12" s="127"/>
      <c r="G12" s="127"/>
      <c r="H12" s="51"/>
    </row>
    <row r="13" spans="1:10" ht="30" customHeight="1" x14ac:dyDescent="0.35">
      <c r="B13" s="98"/>
      <c r="C13" s="36"/>
      <c r="D13" s="36"/>
      <c r="E13" s="36"/>
      <c r="F13" s="36"/>
      <c r="G13" s="36"/>
      <c r="H13" s="36"/>
    </row>
    <row r="14" spans="1:10" ht="22.2" customHeight="1" x14ac:dyDescent="0.35">
      <c r="B14" s="93" t="s">
        <v>74</v>
      </c>
      <c r="C14" s="41"/>
      <c r="D14" s="41"/>
      <c r="E14" s="41"/>
      <c r="F14" s="41"/>
      <c r="G14" s="41"/>
      <c r="H14" s="41"/>
    </row>
    <row r="15" spans="1:10" ht="19.95" customHeight="1" x14ac:dyDescent="0.35">
      <c r="B15" s="98"/>
      <c r="C15" s="36"/>
      <c r="D15" s="36"/>
      <c r="E15" s="36"/>
      <c r="F15" s="36"/>
      <c r="G15" s="36"/>
      <c r="H15" s="36"/>
    </row>
    <row r="16" spans="1:10" ht="22.2" customHeight="1" x14ac:dyDescent="0.35">
      <c r="B16" s="98"/>
      <c r="C16" s="38">
        <f>+Investment!H12</f>
        <v>0</v>
      </c>
      <c r="D16" s="38"/>
      <c r="E16" s="38"/>
      <c r="F16" s="124"/>
      <c r="G16" s="124"/>
      <c r="H16" s="48">
        <f t="shared" ref="H16" si="3">SUM(C16:E16)</f>
        <v>0</v>
      </c>
    </row>
    <row r="17" spans="2:10" ht="22.2" customHeight="1" x14ac:dyDescent="0.35">
      <c r="B17" s="97" t="str">
        <f>+Investment!B13</f>
        <v>Շին․ թույլտվություն - հասարակական տարածքներ</v>
      </c>
      <c r="C17" s="39">
        <f>+'Cash flow'!C23</f>
        <v>200000</v>
      </c>
      <c r="D17" s="39"/>
      <c r="E17" s="39"/>
      <c r="F17" s="125"/>
      <c r="G17" s="125"/>
      <c r="H17" s="49">
        <f>SUM(C17:G17)</f>
        <v>200000</v>
      </c>
    </row>
    <row r="18" spans="2:10" ht="22.2" customHeight="1" x14ac:dyDescent="0.35">
      <c r="B18" s="97" t="str">
        <f>+Investment!B14</f>
        <v>Շինարարության ծախսեր</v>
      </c>
      <c r="C18" s="39">
        <f>+Investment!H14/1.2/3</f>
        <v>1165758472.2222223</v>
      </c>
      <c r="D18" s="38">
        <f>+C18</f>
        <v>1165758472.2222223</v>
      </c>
      <c r="E18" s="38">
        <f>+D18</f>
        <v>1165758472.2222223</v>
      </c>
      <c r="F18" s="126"/>
      <c r="G18" s="126"/>
      <c r="H18" s="49">
        <f>SUM(C18:G18)</f>
        <v>3497275416.666667</v>
      </c>
    </row>
    <row r="19" spans="2:10" ht="22.2" customHeight="1" x14ac:dyDescent="0.35">
      <c r="B19" s="97" t="str">
        <f>+Investment!B15</f>
        <v xml:space="preserve">Նախագիծ </v>
      </c>
      <c r="C19" s="39">
        <f>+Investment!H15/1.2</f>
        <v>0</v>
      </c>
      <c r="D19" s="39"/>
      <c r="E19" s="39"/>
      <c r="F19" s="125"/>
      <c r="G19" s="125"/>
      <c r="H19" s="49">
        <f t="shared" ref="H19:H21" si="4">SUM(C19:G19)</f>
        <v>0</v>
      </c>
    </row>
    <row r="20" spans="2:10" ht="22.2" customHeight="1" x14ac:dyDescent="0.35">
      <c r="B20" s="97" t="str">
        <f>+Investment!B16</f>
        <v>Այլ ծախսեր (մարքեթինգ, վարչական, չնախատեսված, այլն)</v>
      </c>
      <c r="C20" s="39">
        <f>+C18*0.02</f>
        <v>23315169.444444448</v>
      </c>
      <c r="D20" s="38">
        <f>+'Cash flow'!D26/1.2</f>
        <v>23315169.444444448</v>
      </c>
      <c r="E20" s="38">
        <f>+'Cash flow'!E26/1.2</f>
        <v>23315169.444444448</v>
      </c>
      <c r="F20" s="38">
        <f>+'Cash flow'!F26/1.2</f>
        <v>0</v>
      </c>
      <c r="G20" s="38">
        <f>+'Cash flow'!G26/1.2</f>
        <v>0</v>
      </c>
      <c r="H20" s="49">
        <f t="shared" si="4"/>
        <v>69945508.333333343</v>
      </c>
    </row>
    <row r="21" spans="2:10" ht="22.2" customHeight="1" x14ac:dyDescent="0.35">
      <c r="B21" s="130"/>
      <c r="C21" s="39"/>
      <c r="D21" s="39"/>
      <c r="E21" s="39"/>
      <c r="F21" s="125"/>
      <c r="G21" s="125"/>
      <c r="H21" s="49">
        <f t="shared" si="4"/>
        <v>0</v>
      </c>
    </row>
    <row r="22" spans="2:10" ht="22.2" customHeight="1" x14ac:dyDescent="0.35">
      <c r="B22" s="97" t="s">
        <v>64</v>
      </c>
      <c r="C22" s="39">
        <f>+'Cash flow'!C31</f>
        <v>454841917.93750012</v>
      </c>
      <c r="D22" s="39">
        <f>+'Cash flow'!D31</f>
        <v>326415964.63750029</v>
      </c>
      <c r="E22" s="39">
        <f>+'Cash flow'!E31</f>
        <v>197990011.33750033</v>
      </c>
      <c r="F22" s="39">
        <f>+'Cash flow'!F31</f>
        <v>69564058.037500337</v>
      </c>
      <c r="G22" s="39"/>
      <c r="H22" s="49">
        <f>SUM(C22:G22)</f>
        <v>1048811951.9500011</v>
      </c>
    </row>
    <row r="23" spans="2:10" ht="22.2" customHeight="1" x14ac:dyDescent="0.35">
      <c r="B23" s="98"/>
      <c r="C23" s="38"/>
      <c r="D23" s="38"/>
      <c r="E23" s="38"/>
      <c r="F23" s="126"/>
      <c r="G23" s="126"/>
      <c r="H23" s="49">
        <f>SUM(C23:G23)</f>
        <v>0</v>
      </c>
    </row>
    <row r="24" spans="2:10" ht="22.2" customHeight="1" x14ac:dyDescent="0.35">
      <c r="B24" s="98"/>
      <c r="C24" s="38"/>
      <c r="D24" s="38"/>
      <c r="E24" s="38"/>
      <c r="F24" s="126"/>
      <c r="G24" s="126"/>
      <c r="H24" s="49">
        <f>SUM(C24:G24)</f>
        <v>0</v>
      </c>
    </row>
    <row r="25" spans="2:10" ht="30" customHeight="1" x14ac:dyDescent="0.35">
      <c r="B25" s="96" t="s">
        <v>75</v>
      </c>
      <c r="C25" s="160">
        <f>SUM(C16:C24)</f>
        <v>1644115559.604167</v>
      </c>
      <c r="D25" s="161">
        <f>SUM(D16:D24)</f>
        <v>1515489606.304167</v>
      </c>
      <c r="E25" s="161">
        <f>SUM(E16:E24)</f>
        <v>1387063653.0041671</v>
      </c>
      <c r="F25" s="161">
        <f>SUM(F16:F24)</f>
        <v>69564058.037500337</v>
      </c>
      <c r="G25" s="161">
        <f>SUM(G16:G24)</f>
        <v>0</v>
      </c>
      <c r="H25" s="162">
        <f>+H16+H17+H18+H19+H20+H21+H22+H23+H24</f>
        <v>4616232876.9500017</v>
      </c>
    </row>
    <row r="26" spans="2:10" ht="30" customHeight="1" x14ac:dyDescent="0.35">
      <c r="B26" s="96" t="s">
        <v>63</v>
      </c>
      <c r="C26" s="77">
        <f>+(C11-C25)*0.18</f>
        <v>210181865.73093754</v>
      </c>
      <c r="D26" s="77">
        <f>+(D11-D25)*0.18</f>
        <v>39714755.030437469</v>
      </c>
      <c r="E26" s="77"/>
      <c r="F26" s="77"/>
      <c r="G26" s="77">
        <f>+(G11-G25)*0.18</f>
        <v>0</v>
      </c>
      <c r="H26" s="77">
        <f>+(H11-H25)*0.18</f>
        <v>192801484.64456251</v>
      </c>
      <c r="I26" s="45"/>
    </row>
    <row r="27" spans="2:10" ht="19.95" customHeight="1" x14ac:dyDescent="0.35">
      <c r="B27" s="98"/>
      <c r="C27" s="36"/>
      <c r="D27" s="36"/>
      <c r="E27" s="36"/>
      <c r="F27" s="36"/>
      <c r="G27" s="36"/>
      <c r="H27" s="36"/>
    </row>
    <row r="28" spans="2:10" ht="30" customHeight="1" x14ac:dyDescent="0.35">
      <c r="B28" s="96" t="s">
        <v>76</v>
      </c>
      <c r="C28" s="78">
        <f t="shared" ref="C28:H28" si="5">+C11-C25-C26</f>
        <v>957495166.1076045</v>
      </c>
      <c r="D28" s="78">
        <f t="shared" si="5"/>
        <v>180922772.91643739</v>
      </c>
      <c r="E28" s="78">
        <f t="shared" si="5"/>
        <v>-247631142.61145854</v>
      </c>
      <c r="F28" s="78">
        <f t="shared" si="5"/>
        <v>-5797004.8364583477</v>
      </c>
      <c r="G28" s="78">
        <f t="shared" si="5"/>
        <v>0</v>
      </c>
      <c r="H28" s="78">
        <f t="shared" si="5"/>
        <v>878317874.49189591</v>
      </c>
      <c r="J28" s="155"/>
    </row>
    <row r="29" spans="2:10" ht="30" customHeight="1" x14ac:dyDescent="0.35">
      <c r="C29" s="18"/>
      <c r="D29" s="18"/>
      <c r="E29" s="18"/>
      <c r="F29" s="18"/>
      <c r="G29" s="18"/>
      <c r="H29" s="18"/>
    </row>
    <row r="30" spans="2:10" ht="22.2" customHeight="1" x14ac:dyDescent="0.35">
      <c r="B30" s="10"/>
      <c r="C30" s="19"/>
      <c r="D30" s="19"/>
      <c r="E30" s="19"/>
      <c r="F30" s="19"/>
      <c r="G30" s="19"/>
      <c r="H30" s="19"/>
    </row>
    <row r="31" spans="2:10" ht="19.95" customHeight="1" x14ac:dyDescent="0.35">
      <c r="C31" s="18"/>
      <c r="D31" s="18"/>
      <c r="E31" s="18"/>
      <c r="F31" s="18"/>
      <c r="G31" s="18"/>
      <c r="H31" s="18"/>
    </row>
    <row r="32" spans="2:10" ht="22.2" customHeight="1" x14ac:dyDescent="0.35">
      <c r="D32" s="104"/>
    </row>
  </sheetData>
  <mergeCells count="2">
    <mergeCell ref="B1:H1"/>
    <mergeCell ref="B2:H2"/>
  </mergeCells>
  <phoneticPr fontId="9" type="noConversion"/>
  <conditionalFormatting sqref="H7:H12 C11:G12 H16:H25 C25:G25 C28:H28">
    <cfRule type="cellIs" dxfId="0" priority="2" operator="lessThan">
      <formula>0</formula>
    </cfRule>
  </conditionalFormatting>
  <dataValidations count="5">
    <dataValidation allowBlank="1" showInputMessage="1" showErrorMessage="1" prompt="Enter other operating values that you want to track across each month" sqref="B30" xr:uid="{00000000-0002-0000-0300-000000000000}"/>
    <dataValidation allowBlank="1" showInputMessage="1" showErrorMessage="1" prompt="Enter the cash paid out items for each month_x000a_" sqref="B14" xr:uid="{00000000-0002-0000-0300-000001000000}"/>
    <dataValidation allowBlank="1" showInputMessage="1" showErrorMessage="1" prompt="Enter the cash receipts items for each month._x000a__x000a_For Returns and allowances, enter the values as positive numbers._x000a_" sqref="B5" xr:uid="{00000000-0002-0000-0300-000002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300-000003000000}"/>
    <dataValidation allowBlank="1" showInputMessage="1" showErrorMessage="1" prompt="Enter insurance expense such as liability and fire insurance" sqref="E18:G18" xr:uid="{00000000-0002-0000-0300-000004000000}"/>
  </dataValidations>
  <printOptions horizontalCentered="1"/>
  <pageMargins left="0.3" right="0.3" top="0.5" bottom="0.5" header="0.3" footer="0.3"/>
  <pageSetup scale="4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tabSelected="1" workbookViewId="0">
      <selection activeCell="A15" sqref="A15:XFD15"/>
    </sheetView>
  </sheetViews>
  <sheetFormatPr defaultRowHeight="15" x14ac:dyDescent="0.35"/>
  <cols>
    <col min="2" max="2" width="67.453125" customWidth="1"/>
    <col min="3" max="3" width="14.36328125" bestFit="1" customWidth="1"/>
    <col min="4" max="4" width="12" bestFit="1" customWidth="1"/>
  </cols>
  <sheetData>
    <row r="1" spans="1:4" s="7" customFormat="1" ht="46.2" x14ac:dyDescent="0.85">
      <c r="A1" s="2"/>
      <c r="B1" s="163" t="s">
        <v>0</v>
      </c>
      <c r="C1" s="163"/>
    </row>
    <row r="2" spans="1:4" s="2" customFormat="1" ht="46.2" x14ac:dyDescent="0.85">
      <c r="B2" s="164" t="s">
        <v>77</v>
      </c>
      <c r="C2" s="163"/>
      <c r="D2" s="2" t="s">
        <v>2</v>
      </c>
    </row>
    <row r="3" spans="1:4" ht="15.6" x14ac:dyDescent="0.35">
      <c r="B3" s="82" t="s">
        <v>3</v>
      </c>
      <c r="C3" s="82" t="s">
        <v>4</v>
      </c>
    </row>
    <row r="5" spans="1:4" ht="16.2" x14ac:dyDescent="0.35">
      <c r="B5" s="91" t="s">
        <v>78</v>
      </c>
      <c r="C5" s="101"/>
    </row>
    <row r="6" spans="1:4" x14ac:dyDescent="0.35">
      <c r="B6" s="72"/>
    </row>
    <row r="7" spans="1:4" ht="15.6" x14ac:dyDescent="0.35">
      <c r="B7" s="83" t="s">
        <v>79</v>
      </c>
      <c r="C7" s="80">
        <f>+'Income Statement'!H11</f>
        <v>5687352236.0864601</v>
      </c>
    </row>
    <row r="8" spans="1:4" ht="16.2" x14ac:dyDescent="0.35">
      <c r="B8" s="100" t="s">
        <v>80</v>
      </c>
      <c r="C8" s="80">
        <f>+Investment!H18</f>
        <v>4280865110</v>
      </c>
    </row>
    <row r="9" spans="1:4" ht="16.2" x14ac:dyDescent="0.35">
      <c r="B9" s="100" t="s">
        <v>81</v>
      </c>
      <c r="C9" s="80">
        <f>+'Income Statement'!H28</f>
        <v>878317874.49189591</v>
      </c>
    </row>
    <row r="10" spans="1:4" x14ac:dyDescent="0.35">
      <c r="B10" s="105" t="s">
        <v>82</v>
      </c>
    </row>
    <row r="12" spans="1:4" ht="16.2" x14ac:dyDescent="0.35">
      <c r="B12" s="92" t="s">
        <v>83</v>
      </c>
      <c r="C12" s="81"/>
    </row>
    <row r="14" spans="1:4" ht="15.6" x14ac:dyDescent="0.35">
      <c r="B14" s="83" t="s">
        <v>84</v>
      </c>
      <c r="C14" s="79">
        <f>+C9/C8</f>
        <v>0.20517298534825731</v>
      </c>
    </row>
    <row r="15" spans="1:4" ht="16.2" x14ac:dyDescent="0.35">
      <c r="B15" s="100" t="s">
        <v>85</v>
      </c>
      <c r="C15" s="79">
        <f>+C9/C7</f>
        <v>0.15443352864957732</v>
      </c>
    </row>
    <row r="16" spans="1:4" x14ac:dyDescent="0.35">
      <c r="B16" s="73"/>
    </row>
    <row r="17" spans="2:3" x14ac:dyDescent="0.35">
      <c r="B17" s="117" t="s">
        <v>86</v>
      </c>
    </row>
    <row r="18" spans="2:3" ht="16.2" x14ac:dyDescent="0.35">
      <c r="B18" s="100" t="s">
        <v>87</v>
      </c>
      <c r="C18">
        <v>2</v>
      </c>
    </row>
    <row r="19" spans="2:3" ht="16.2" x14ac:dyDescent="0.35">
      <c r="B19" s="100" t="s">
        <v>88</v>
      </c>
      <c r="C19">
        <v>5</v>
      </c>
    </row>
  </sheetData>
  <mergeCells count="2">
    <mergeCell ref="B1:C1"/>
    <mergeCell ref="B2:C2"/>
  </mergeCells>
  <dataValidations count="1"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400-000000000000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CD5576-806B-4316-ABA4-7A78E2CBAD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D4D3FA1-30A2-42F8-B51D-7BB6C9095E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D984D9-47BB-465C-B809-4412CE862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TM00587582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Investment</vt:lpstr>
      <vt:lpstr>Credit</vt:lpstr>
      <vt:lpstr>Cash flow</vt:lpstr>
      <vt:lpstr>Income Statement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2023-01-16T00:49:24Z</dcterms:created>
  <dcterms:modified xsi:type="dcterms:W3CDTF">2025-12-19T10:11:54Z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